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omments2.xml" ContentType="application/vnd.openxmlformats-officedocument.spreadsheetml.comments+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e219be1eb3e4df4" /></Relationships>
</file>

<file path=xl/workbook.xml><?xml version="1.0" encoding="utf-8"?>
<x:workbook xmlns:x="http://schemas.openxmlformats.org/spreadsheetml/2006/main">
  <x:sheets>
    <x:sheet xmlns:r="http://schemas.openxmlformats.org/officeDocument/2006/relationships" name="GanttChart" sheetId="9" r:id="Rc1f3184726bf4937"/>
    <x:sheet xmlns:r="http://schemas.openxmlformats.org/officeDocument/2006/relationships" name="GanttChartPro" sheetId="12" r:id="R935fe220616b44d2"/>
    <x:sheet xmlns:r="http://schemas.openxmlformats.org/officeDocument/2006/relationships" name="Help" sheetId="6" r:id="Rcf763fb052974733"/>
    <x:sheet xmlns:r="http://schemas.openxmlformats.org/officeDocument/2006/relationships" name="TermsOfUse" sheetId="11" r:id="R85875c10d4d54b1a"/>
  </x:sheets>
  <x:definedNames>
    <x:definedName name="valuevx">42.314159</x:definedName>
    <x:definedName name="vertex42_copyright" hidden="1">"© 2006-2018 Vertex42 LLC"</x:definedName>
    <x:definedName name="vertex42_id" hidden="1">"gantt-chart_L.xlsx"</x:definedName>
    <x:definedName name="vertex42_title" hidden="1">"Gantt Chart Template"</x:definedName>
    <x:definedName name="prevWBS" localSheetId="0">GanttChart!$A1048576</x:definedName>
  </x:definedNames>
</x:workbook>
</file>

<file path=xl/comments1.xml><?xml version="1.0" encoding="utf-8"?>
<x:comments xmlns:x="http://schemas.openxmlformats.org/spreadsheetml/2006/main">
  <x:authors>
    <x:author>Vertex42</x:author>
    <x:author>Vertex42.com Templates</x:author>
  </x:authors>
  <x:commentList>
    <x:comment ref="A7" authorId="0">
      <x:text>
        <x:r>
          <x:t>Work Breakdown Structure
Level 1: 1, 2, 3, ...
Level 2: 1.1, 1.2, 1.3, ...
Level 3: 1.1.1, 1.1.2, 1.1.3, …
 - The WBS uses a formula to control the numbering, but the formulas are different for different levels. Copy and Paste the cells in the WBS column from the examples at the bottom of the worksheet.</x:t>
        </x:r>
      </x:text>
    </x:comment>
    <x:comment ref="B7" authorId="0">
      <x:text>
        <x:r>
          <x:t>Task Description
Enter the name of each task and sub-task. Use indents for sub-tasks.</x:t>
        </x:r>
      </x:text>
    </x:comment>
    <x:comment ref="C7" authorId="0">
      <x:text>
        <x:r>
          <x:t>Task Lead
Enter the name of the Task Lead in this column.</x:t>
        </x:r>
      </x:text>
    </x:comment>
    <x:comment ref="D7" authorId="0">
      <x:text>
        <x:r>
          <x:t>Predecessor Tasks:
You can use this column to enter the WBS of a predecessor for reference. The PRO version uses formulas to automatically calculate the Start Date based on the Predecessor.</x:t>
        </x:r>
      </x:text>
    </x:comment>
    <x:comment ref="E7" authorId="0">
      <x:text>
        <x:r>
          <x:t>Task Start Date
You can manually enter the Start Date for each task or use a formula to create a dependency on a Predecessor. For example, you could enter =enddate+1 to set the Start date to the next calendar day, or =WORKDAY(enddate,1) to set the Start date to the next work day (excluding weekends), where enddate is the cell reference for the End date of the Predecessor task.</x:t>
        </x:r>
      </x:text>
    </x:comment>
    <x:comment ref="F7" authorId="1">
      <x:text>
        <x:r>
          <x:t>End Date:
The End Date is calculated based on the Start Date and the Calendar Days columns.</x:t>
        </x:r>
      </x:text>
    </x:comment>
    <x:comment ref="G7" authorId="0">
      <x:text>
        <x:r>
          <x:t>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x:t>
        </x:r>
      </x:text>
    </x:comment>
    <x:comment ref="H7" authorId="0">
      <x:text>
        <x:r>
          <x:t>Percent Complete
Update the status of this task by entering the percent complete (between 0% and 100%).</x:t>
        </x:r>
      </x:text>
    </x:comment>
    <x:comment ref="I7" authorId="0">
      <x:text>
        <x:r>
          <x:t>Work Days
Counts the number of work days, excluding the weekends (Saturday and Sunday). In the PRO version, you can customize the work week and list specific non-working days like holidays. In the PRO version, the default input is the Work Days instead of the Calendar Days.</x:t>
        </x:r>
      </x:text>
    </x:comment>
  </x:commentList>
</x:comments>
</file>

<file path=xl/comments2.xml><?xml version="1.0" encoding="utf-8"?>
<x:comments xmlns:x="http://schemas.openxmlformats.org/spreadsheetml/2006/main">
  <x:authors>
    <x:author>Vertex42</x:author>
  </x:authors>
  <x:commentList>
    <x:comment ref="C16" authorId="0">
      <x:text>
        <x:r>
          <x:t>This is an example comment.</x:t>
        </x:r>
      </x:text>
    </x:comment>
  </x:commentList>
</x:comments>
</file>

<file path=xl/sharedStrings.xml><?xml version="1.0" encoding="utf-8"?>
<x:sst xmlns:x="http://schemas.openxmlformats.org/spreadsheetml/2006/main">
  <x:si>
    <x:t xml:space="preserve">[Project Name] Project Schedule</x:t>
  </x:si>
  <x:si>
    <x:r>
      <x:rPr>
        <x:i/>
        <x:u val="single"/>
        <x:sz val="8"/>
        <x:color theme="0" tint="-0.34999"/>
        <x:rFont val="Arial"/>
        <x:family val="2"/>
      </x:rPr>
      <x:t xml:space="preserve">Gantt Chart Template</x:t>
    </x:r>
    <x:r>
      <x:rPr>
        <x:i/>
        <x:sz val="8"/>
        <x:color theme="0" tint="-0.34999"/>
        <x:rFont val="Arial"/>
        <x:family val="2"/>
      </x:rPr>
      <x:t xml:space="preserve"> © 2006-2025 by Vertex42.com.</x:t>
    </x:r>
  </x:si>
  <x:si>
    <x:t xml:space="preserve">[Company Name]</x:t>
  </x:si>
  <x:si>
    <x:t xml:space="preserve">Project Start Date </x:t>
  </x:si>
  <x:si>
    <x:t xml:space="preserve">Display Week </x:t>
  </x:si>
  <x:si>
    <x:t xml:space="preserve">Project Lead </x:t>
  </x:si>
  <x:si>
    <x:t xml:space="preserve">WBS</x:t>
  </x:si>
  <x:si>
    <x:t xml:space="preserve">TASK</x:t>
  </x:si>
  <x:si>
    <x:t xml:space="preserve">LEAD</x:t>
  </x:si>
  <x:si>
    <x:t xml:space="preserve">PREDECESSOR</x:t>
  </x:si>
  <x:si>
    <x:t xml:space="preserve">START</x:t>
  </x:si>
  <x:si>
    <x:t xml:space="preserve">END</x:t>
  </x:si>
  <x:si>
    <x:t xml:space="preserve">DAYS</x:t>
  </x:si>
  <x:si>
    <x:t xml:space="preserve">% DONE</x:t>
  </x:si>
  <x:si>
    <x:t xml:space="preserve">WORK DAYS</x:t>
  </x:si>
  <x:si>
    <x:t xml:space="preserve">[Task Category]</x:t>
  </x:si>
  <x:si>
    <x:t xml:space="preserve">[Task]</x:t>
  </x:si>
  <x:si>
    <x:t xml:space="preserve">[Name]</x:t>
  </x:si>
  <x:si>
    <x:t xml:space="preserve">[Sub-task]</x:t>
  </x:si>
  <x:si>
    <x:t xml:space="preserve">TEMPLATE ROWS</x:t>
  </x:si>
  <x:si>
    <x:t xml:space="preserve">See the Help worksheet to learn how to use these rows. You can hide these rows before printing.</x:t>
  </x:si>
  <x:si>
    <x:t xml:space="preserve">[ Level 1 Task or Phase ]</x:t>
  </x:si>
  <x:si>
    <x:t xml:space="preserve"> . [ Level 2 Task ]</x:t>
  </x:si>
  <x:si>
    <x:t xml:space="preserve"> . . [ Level 3 Task ]</x:t>
  </x:si>
  <x:si>
    <x:t xml:space="preserve"> . . . [ Level 4 Task ]</x:t>
  </x:si>
  <x:si>
    <x:t xml:space="preserve">Gantt Chart Template Pro</x:t>
  </x:si>
  <x:si>
    <x:r>
      <x:t xml:space="preserve">Gantt Chart Template Pro</x:t>
    </x:r>
    <x:r>
      <x:rPr>
        <x:sz val="10"/>
        <x:rFont val="Arial"/>
        <x:family val="2"/>
      </x:rPr>
      <x:t xml:space="preserve"> is similar to this free version, but</x:t>
    </x:r>
  </x:si>
  <x:si>
    <x:t xml:space="preserve">it is more feature-packed. It also comes with other bonus content.</x:t>
  </x:si>
  <x:si>
    <x:t xml:space="preserve">Learn About Gantt Chart Template Pro</x:t>
  </x:si>
  <x:si>
    <x:t xml:space="preserve">https://www.vertex42.com/ExcelTemplates/excel-gantt-chart.html</x:t>
  </x:si>
  <x:si>
    <x:t xml:space="preserve">The following link is a blog post that talks specifically about the</x:t>
  </x:si>
  <x:si>
    <x:t xml:space="preserve">Pro version for Excel Online.</x:t>
  </x:si>
  <x:si>
    <x:t xml:space="preserve">Gantt Chart Template Pro for Excel Online</x:t>
  </x:si>
  <x:si>
    <x:t xml:space="preserve">Benefits and Features of Gantt Chart Template Pro</x:t>
  </x:si>
  <x:si>
    <x:t xml:space="preserve">Simple Color-Coding</x:t>
  </x:si>
  <x:si>
    <x:t xml:space="preserve">The Pro version includes a column for specifying the color of bars in the chart. For example,</x:t>
  </x:si>
  <x:si>
    <x:t xml:space="preserve">you could change the color based on urgency or task lead.</x:t>
  </x:si>
  <x:si>
    <x:t xml:space="preserve">Daily, Weekly, or Monthly View</x:t>
  </x:si>
  <x:si>
    <x:t xml:space="preserve">The Pro version includes a drop-down next to the Display Week that lets you choose to display</x:t>
  </x:si>
  <x:si>
    <x:t xml:space="preserve">the columns in the chart area as days, weeks, or months.</x:t>
  </x:si>
  <x:si>
    <x:t xml:space="preserve">Use Work Days as an Input</x:t>
  </x:si>
  <x:si>
    <x:t xml:space="preserve">By default, the Pro version is set up to have you enter Work Days instead of Calendar Days.</x:t>
  </x:si>
  <x:si>
    <x:t xml:space="preserve">The expanded set of template rows provides more options for defining the Start date, End date,</x:t>
  </x:si>
  <x:si>
    <x:t xml:space="preserve">and Duration of tasks. Define a task based on …</x:t>
  </x:si>
  <x:si>
    <x:t xml:space="preserve"> - Start date and End date</x:t>
  </x:si>
  <x:si>
    <x:t xml:space="preserve"> - Start date and Work days</x:t>
  </x:si>
  <x:si>
    <x:t xml:space="preserve"> - Start date and Calendar days</x:t>
  </x:si>
  <x:si>
    <x:t xml:space="preserve">Easily Create Task Dependencies</x:t>
  </x:si>
  <x:si>
    <x:t xml:space="preserve">Though you can still use your own formulas for creating task dependencies, the Pro version</x:t>
  </x:si>
  <x:si>
    <x:t xml:space="preserve">includes template rows that calculate the Start date based on the WBS number that you enter</x:t>
  </x:si>
  <x:si>
    <x:t xml:space="preserve">in the Predecessor column.</x:t>
  </x:si>
  <x:si>
    <x:t xml:space="preserve">Exclude Holidays from Work Days</x:t>
  </x:si>
  <x:si>
    <x:t xml:space="preserve">List holidays and other specific non-working days that you want to exclude from work days.</x:t>
  </x:si>
  <x:si>
    <x:t xml:space="preserve">Customize Your Work Week</x:t>
  </x:si>
  <x:si>
    <x:t xml:space="preserve">The versions designed for Excel 2010+ use the WORKDAY.INTL() and NETWORKDAYS.INTL()</x:t>
  </x:si>
  <x:si>
    <x:t xml:space="preserve">functions that allow you define the work week as something other than Monday-Friday.</x:t>
  </x:si>
  <x:si>
    <x:t xml:space="preserve">Learn More About Gantt Chart Template Pro</x:t>
  </x:si>
  <x:si>
    <x:t xml:space="preserve">Help</x:t>
  </x:si>
  <x:si>
    <x:t xml:space="preserve">About This Template</x:t>
  </x:si>
  <x:si>
    <x:t xml:space="preserve">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x:t>
  </x:si>
  <x:si>
    <x:t xml:space="preserve">Be sure to read the Getting Started Tips below. Watching the video demos for Gantt Chart Template Pro may also help you see how to use the spreadsheet.</x:t>
  </x:si>
  <x:si>
    <x:t xml:space="preserve">Watch Demo Videos of the Pro Version on Vertex42.com</x:t>
  </x:si>
  <x:si>
    <x:t xml:space="preserve">Please read the license agreement in the TermsOfUse worksheet to learn how you may or may not use and share this spreadsheet.</x:t>
  </x:si>
  <x:si>
    <x:t xml:space="preserve">Getting Started Tips</x:t>
  </x:si>
  <x:si>
    <x:t xml:space="preserve">• [Bracketed Text] is meant to be edited, like the project title and task descriptions.</x:t>
  </x:si>
  <x:si>
    <x:t xml:space="preserve">• Some of the labels include cell comments to provide extra information.</x:t>
  </x:si>
  <x:si>
    <x:t xml:space="preserve">Label</x:t>
  </x:si>
  <x:si>
    <x:t xml:space="preserve">• To adjust the range of dates shown in the Gantt chart, change the Display Week number.</x:t>
  </x:si>
  <x:si>
    <x:t xml:space="preserve">• The Project Start Date is used to define the first week shown in the gantt chart.</x:t>
  </x:si>
  <x:si>
    <x:t xml:space="preserve">• Insert new tasks using one of the methods listed below.</x:t>
  </x:si>
  <x:si>
    <x:t xml:space="preserve">• Define the task start date and duration (days) by editing the light green cells.</x:t>
  </x:si>
  <x:si>
    <x:t xml:space="preserve">Input Cell</x:t>
  </x:si>
  <x:si>
    <x:t xml:space="preserve">• If you see "#####" in a cell, widen the column to display the cell contents.</x:t>
  </x:si>
  <x:si>
    <x:r>
      <x:t xml:space="preserve">• </x:t>
    </x:r>
    <x:r>
      <x:rPr>
        <x:b/>
        <x:sz val="11"/>
        <x:color rgb="FFFF0000"/>
        <x:rFont val="Arial"/>
        <x:family val="2"/>
      </x:rPr>
      <x:t xml:space="preserve">Backup</x:t>
    </x:r>
    <x:r>
      <x:rPr>
        <x:sz val="11"/>
        <x:color rgb="FFFF0000"/>
        <x:rFont val="Arial"/>
        <x:family val="2"/>
      </x:rPr>
      <x:t xml:space="preserve"> your file regularly to avoid losing data! Excel files get corrupted occasionally.</x:t>
    </x:r>
  </x:si>
  <x:si>
    <x:t xml:space="preserve">Inserting New Tasks (Rows)</x:t>
  </x:si>
  <x:si>
    <x:r>
      <x:t xml:space="preserve">When inserting and deleting tasks, you need to insert and delete </x:t>
    </x:r>
    <x:r>
      <x:rPr>
        <x:b/>
        <x:sz val="11"/>
        <x:rFont val="Arial"/>
        <x:family val="2"/>
      </x:rPr>
      <x:t xml:space="preserve">entire rows</x:t>
    </x:r>
    <x:r>
      <x:rPr>
        <x:sz val="11"/>
        <x:rFont val="Arial"/>
        <x:family val="2"/>
      </x:rPr>
      <x:t xml:space="preserve">. Some columns contain formulas (such as the End Date and the Work Days columns), so these formulas need to copied to the newly inserted rows.</x:t>
    </x:r>
  </x:si>
  <x:si>
    <x:t xml:space="preserve">METHOD 1 (recommended)</x:t>
  </x:si>
  <x:si>
    <x:t xml:space="preserve">• Insert a new blank row by right-clicking on the row number and selecting Insert.</x:t>
  </x:si>
  <x:si>
    <x:t xml:space="preserve">• With the new blank row selected, press Ctrl+d to copy the formulas and formatting down from the row above OR use the row drag handle to copy the formulas and formatting down.</x:t>
  </x:si>
  <x:si>
    <x:t xml:space="preserve">METHOD 2</x:t>
  </x:si>
  <x:si>
    <x:t xml:space="preserve">• Copy a row from the set of template rows at the bottom of the worksheet.</x:t>
  </x:si>
  <x:si>
    <x:t xml:space="preserve">• Right-click on the row where you want to insert the new task and select Insert Copied Cells.</x:t>
  </x:si>
  <x:si>
    <x:t xml:space="preserve">Method 2 will work, but Excel will split/fracture/duplicate conditional formatting rules rather than merging the rules. This can cause inefficiencies in very large and heavily modified files.</x:t>
  </x:si>
  <x:si>
    <x:t xml:space="preserve">Help improve Excel by voting on a suggestion to fix this problem.</x:t>
  </x:si>
  <x:si>
    <x:t xml:space="preserve">Using the Template Rows and Choosing a WBS Level</x:t>
  </x:si>
  <x:si>
    <x:t xml:space="preserve">The set of template rows at the bottom of the Gantt Chart worksheet provide examples of different ways to format and define tasks for different WBS levels.</x:t>
  </x:si>
  <x:si>
    <x:t xml:space="preserve">Each different WBS level uses a different formula in the WBS column.</x:t>
  </x:si>
  <x:si>
    <x:t xml:space="preserve">You can either copy/paste/insert these template rows via Method 2 as explained above, OR you can just copy/paste the desired WBS cell when you want to change the WBS level.</x:t>
  </x:si>
  <x:si>
    <x:t xml:space="preserve">If you leave a blank cell above a WBS number, the numbering will reset to 1.x.x. The formulas are meant for convenience, but you can manually enter the WBS numbers if you want to.</x:t>
  </x:si>
  <x:si>
    <x:t xml:space="preserve">You can indent the task description for sub-tasks by entering leading spaces or using the Indent feature in Excel.</x:t>
  </x:si>
  <x:si>
    <x:t xml:space="preserve">Creating Task Dependencies</x:t>
  </x:si>
  <x:si>
    <x:t xml:space="preserve">You can enter the Start date manually, or define task dependencies using a formula. Below are some common options for defining the Start date:</x:t>
  </x:si>
  <x:si>
    <x:t xml:space="preserve">A.</x:t>
  </x:si>
  <x:si>
    <x:t xml:space="preserve">Enter the date manually (e.g. 1/3/2015)</x:t>
  </x:si>
  <x:si>
    <x:t xml:space="preserve">B.</x:t>
  </x:si>
  <x:si>
    <x:t xml:space="preserve">Reference the Project Start Date (e.g. =$E$4 )</x:t>
  </x:si>
  <x:si>
    <x:t xml:space="preserve">C.</x:t>
  </x:si>
  <x:si>
    <x:t xml:space="preserve">Set the Start date to the next Work Day after another task's End date.</x:t>
  </x:si>
  <x:si>
    <x:r>
      <x:t xml:space="preserve">• Use the formula =WORKDAY(</x:t>
    </x:r>
    <x:r>
      <x:rPr>
        <x:i/>
        <x:sz val="11"/>
        <x:rFont val="Arial"/>
        <x:family val="2"/>
      </x:rPr>
      <x:t xml:space="preserve">enddate</x:t>
    </x:r>
    <x:r>
      <x:rPr>
        <x:sz val="11"/>
        <x:rFont val="Arial"/>
        <x:family val="2"/>
      </x:rPr>
      <x:t xml:space="preserve">,1) where </x:t>
    </x:r>
    <x:r>
      <x:rPr>
        <x:i/>
        <x:sz val="11"/>
        <x:rFont val="Arial"/>
        <x:family val="2"/>
      </x:rPr>
      <x:t xml:space="preserve">enddate</x:t>
    </x:r>
    <x:r>
      <x:rPr>
        <x:sz val="11"/>
        <x:rFont val="Arial"/>
        <x:family val="2"/>
      </x:rPr>
      <x:t xml:space="preserve"> is the reference to the End date of a predecessor task.</x:t>
    </x:r>
  </x:si>
  <x:si>
    <x:r>
      <x:t xml:space="preserve">• For multiple predecessors, the formula would be =MAX(WORKDAY(</x:t>
    </x:r>
    <x:r>
      <x:rPr>
        <x:i/>
        <x:sz val="11"/>
        <x:rFont val="Arial"/>
        <x:family val="2"/>
      </x:rPr>
      <x:t xml:space="preserve">enddate1</x:t>
    </x:r>
    <x:r>
      <x:rPr>
        <x:sz val="11"/>
        <x:rFont val="Arial"/>
        <x:family val="2"/>
      </x:rPr>
      <x:t xml:space="preserve">,1),WORKDAY(</x:t>
    </x:r>
    <x:r>
      <x:rPr>
        <x:i/>
        <x:sz val="11"/>
        <x:rFont val="Arial"/>
        <x:family val="2"/>
      </x:rPr>
      <x:t xml:space="preserve">enddate2</x:t>
    </x:r>
    <x:r>
      <x:rPr>
        <x:sz val="11"/>
        <x:rFont val="Arial"/>
        <x:family val="2"/>
      </x:rPr>
      <x:t xml:space="preserve">,1))</x:t>
    </x:r>
  </x:si>
  <x:si>
    <x:t xml:space="preserve">D.</x:t>
  </x:si>
  <x:si>
    <x:t xml:space="preserve">Set the Start date to the next Calendar Day after another task's End date.</x:t>
  </x:si>
  <x:si>
    <x:r>
      <x:t xml:space="preserve">• This formula is very simple: =</x:t>
    </x:r>
    <x:r>
      <x:rPr>
        <x:i/>
        <x:sz val="11"/>
        <x:rFont val="Arial"/>
        <x:family val="2"/>
      </x:rPr>
      <x:t xml:space="preserve">enddate</x:t>
    </x:r>
    <x:r>
      <x:rPr>
        <x:sz val="11"/>
        <x:rFont val="Arial"/>
        <x:family val="2"/>
      </x:rPr>
      <x:t xml:space="preserve">+1</x:t>
    </x:r>
  </x:si>
  <x:si>
    <x:r>
      <x:t xml:space="preserve">• For multiple predecessors, the formula would be =MAX(</x:t>
    </x:r>
    <x:r>
      <x:rPr>
        <x:i/>
        <x:sz val="11"/>
        <x:rFont val="Arial"/>
        <x:family val="2"/>
      </x:rPr>
      <x:t xml:space="preserve">enddate1</x:t>
    </x:r>
    <x:r>
      <x:rPr>
        <x:sz val="11"/>
        <x:rFont val="Arial"/>
        <x:family val="2"/>
      </x:rPr>
      <x:t xml:space="preserve">,</x:t>
    </x:r>
    <x:r>
      <x:rPr>
        <x:i/>
        <x:sz val="11"/>
        <x:rFont val="Arial"/>
        <x:family val="2"/>
      </x:rPr>
      <x:t xml:space="preserve">enddate2</x:t>
    </x:r>
    <x:r>
      <x:rPr>
        <x:sz val="11"/>
        <x:rFont val="Arial"/>
        <x:family val="2"/>
      </x:rPr>
      <x:t xml:space="preserve">,</x:t>
    </x:r>
    <x:r>
      <x:rPr>
        <x:i/>
        <x:sz val="11"/>
        <x:rFont val="Arial"/>
        <x:family val="2"/>
      </x:rPr>
      <x:t xml:space="preserve">enddate3</x:t>
    </x:r>
    <x:r>
      <x:rPr>
        <x:sz val="11"/>
        <x:rFont val="Arial"/>
        <x:family val="2"/>
      </x:rPr>
      <x:t xml:space="preserve">)+1</x:t>
    </x:r>
  </x:si>
  <x:si>
    <x:t xml:space="preserve">E.</x:t>
  </x:si>
  <x:si>
    <x:t xml:space="preserve">Set the Start date to a number of days before or after another date.</x:t>
  </x:si>
  <x:si>
    <x:r>
      <x:t xml:space="preserve">• This formula is just like the one in C or D, except that in place of the "1" you enter the number of days, such as =WORKDAY(</x:t>
    </x:r>
    <x:r>
      <x:rPr>
        <x:i/>
        <x:sz val="11"/>
        <x:rFont val="Arial"/>
        <x:family val="2"/>
      </x:rPr>
      <x:t xml:space="preserve">enddate</x:t>
    </x:r>
    <x:r>
      <x:rPr>
        <x:sz val="11"/>
        <x:rFont val="Arial"/>
        <x:family val="2"/>
      </x:rPr>
      <x:t xml:space="preserve">,5) or =WORKDAY(</x:t>
    </x:r>
    <x:r>
      <x:rPr>
        <x:i/>
        <x:sz val="11"/>
        <x:rFont val="Arial"/>
        <x:family val="2"/>
      </x:rPr>
      <x:t xml:space="preserve">startdate</x:t>
    </x:r>
    <x:r>
      <x:rPr>
        <x:sz val="11"/>
        <x:rFont val="Arial"/>
        <x:family val="2"/>
      </x:rPr>
      <x:t xml:space="preserve">,-5)</x:t>
    </x:r>
  </x:si>
  <x:si>
    <x:t xml:space="preserve">F.</x:t>
  </x:si>
  <x:si>
    <x:t xml:space="preserve">Use a lookup formula and the Predecessor column to define the start date.</x:t>
  </x:si>
  <x:si>
    <x:t xml:space="preserve">[The formulas for using this method are built into Gantt Chart Template Pro]</x:t>
  </x:si>
  <x:si>
    <x:t xml:space="preserve">Changing the Color of the Bars in the Gantt Chart</x:t>
  </x:si>
  <x:si>
    <x:t xml:space="preserve">[Advanced] The Gantt Chart is created using conditional formatting, so you can modify the conditional formatting rules to change the format to a different color. The Pro version includes a column where you can change the color by entering a color code ("b"=blue, "g"=green, etc.)</x:t>
  </x:si>
  <x:si>
    <x:t xml:space="preserve">FAQs</x:t>
  </x:si>
  <x:si>
    <x:t xml:space="preserve">Q:</x:t>
  </x:si>
  <x:si>
    <x:r>
      <x:t xml:space="preserve">How do I enter the </x:t>
    </x:r>
    <x:r>
      <x:rPr>
        <x:b/>
        <x:sz val="11"/>
        <x:color theme="4" tint="-0.24998"/>
        <x:rFont val="Arial"/>
        <x:family val="2"/>
      </x:rPr>
      <x:t xml:space="preserve">Work Days</x:t>
    </x:r>
    <x:r>
      <x:rPr>
        <x:sz val="11"/>
        <x:color theme="4" tint="-0.24998"/>
        <x:rFont val="Arial"/>
        <x:family val="2"/>
      </x:rPr>
      <x:t xml:space="preserve"> instead of </x:t>
    </x:r>
    <x:r>
      <x:rPr>
        <x:b/>
        <x:sz val="11"/>
        <x:color theme="4" tint="-0.24998"/>
        <x:rFont val="Arial"/>
        <x:family val="2"/>
      </x:rPr>
      <x:t xml:space="preserve">Calendar Days</x:t>
    </x:r>
    <x:r>
      <x:rPr>
        <x:sz val="11"/>
        <x:color theme="4" tint="-0.24998"/>
        <x:rFont val="Arial"/>
        <x:family val="2"/>
      </x:rPr>
      <x:t xml:space="preserve">?</x:t>
    </x:r>
  </x:si>
  <x:si>
    <x:t xml:space="preserve">Entering work days instead of calendar days is a feature of the Pro version. There is nothing in the free version preventing you from entering your own formulas, though.</x:t>
  </x:si>
  <x:si>
    <x:r>
      <x:t xml:space="preserve">How do I calculate Calendar Days after entering the </x:t>
    </x:r>
    <x:r>
      <x:rPr>
        <x:b/>
        <x:sz val="11"/>
        <x:color theme="4" tint="-0.24998"/>
        <x:rFont val="Arial"/>
        <x:family val="2"/>
      </x:rPr>
      <x:t xml:space="preserve">Start and End Dates</x:t>
    </x:r>
    <x:r>
      <x:rPr>
        <x:sz val="11"/>
        <x:color theme="4" tint="-0.24998"/>
        <x:rFont val="Arial"/>
        <x:family val="2"/>
      </x:rPr>
      <x:t xml:space="preserve">?</x:t>
    </x:r>
  </x:si>
  <x:si>
    <x:r>
      <x:t xml:space="preserve">You can calculate the duration in calendar days (including both start and end dates) using the formula =</x:t>
    </x:r>
    <x:r>
      <x:rPr>
        <x:i/>
        <x:sz val="11"/>
        <x:rFont val="Arial"/>
        <x:family val="2"/>
      </x:rPr>
      <x:t xml:space="preserve">enddate</x:t>
    </x:r>
    <x:r>
      <x:rPr>
        <x:sz val="11"/>
        <x:rFont val="Arial"/>
        <x:family val="2"/>
      </x:rPr>
      <x:t xml:space="preserve">-</x:t>
    </x:r>
    <x:r>
      <x:rPr>
        <x:i/>
        <x:sz val="11"/>
        <x:rFont val="Arial"/>
        <x:family val="2"/>
      </x:rPr>
      <x:t xml:space="preserve">startdate</x:t>
    </x:r>
    <x:r>
      <x:rPr>
        <x:sz val="11"/>
        <x:rFont val="Arial"/>
        <x:family val="2"/>
      </x:rPr>
      <x:t xml:space="preserve">+1</x:t>
    </x:r>
  </x:si>
  <x:si>
    <x:r>
      <x:t xml:space="preserve">How do I change the </x:t>
    </x:r>
    <x:r>
      <x:rPr>
        <x:b/>
        <x:sz val="11"/>
        <x:color theme="4" tint="-0.24998"/>
        <x:rFont val="Arial"/>
        <x:family val="2"/>
      </x:rPr>
      <x:t xml:space="preserve">Print Settings</x:t>
    </x:r>
    <x:r>
      <x:rPr>
        <x:sz val="11"/>
        <x:color theme="4" tint="-0.24998"/>
        <x:rFont val="Arial"/>
        <x:family val="2"/>
      </x:rPr>
      <x:t xml:space="preserve">? (Excel 2010, 2013)</x:t>
    </x:r>
  </x:si>
  <x:si>
    <x:t xml:space="preserve">Select the entire range of cells you want to print and go to File &gt; Print Area &gt; Set Print Area. Then go to File &gt; Page Setup or File &gt; Print Preview and adjust the Scaling, Margins, and Page Orientation as desired.</x:t>
  </x:si>
  <x:si>
    <x:r>
      <x:t xml:space="preserve">How do I increase the </x:t>
    </x:r>
    <x:r>
      <x:rPr>
        <x:b/>
        <x:sz val="11"/>
        <x:color theme="4" tint="-0.24998"/>
        <x:rFont val="Arial"/>
        <x:family val="2"/>
      </x:rPr>
      <x:t xml:space="preserve">range of dates</x:t>
    </x:r>
    <x:r>
      <x:rPr>
        <x:sz val="11"/>
        <x:color theme="4" tint="-0.24998"/>
        <x:rFont val="Arial"/>
        <x:family val="2"/>
      </x:rPr>
      <x:t xml:space="preserve"> displayed in the Gantt chart?</x:t>
    </x:r>
  </x:si>
  <x:si>
    <x:t xml:space="preserve">You will need to add columns to the right of the Gantt Chart via copy/paste. Copy and paste the columns in groups of 7. Afterwards, you will also probably need to update the print area.</x:t>
  </x:si>
  <x:si>
    <x:r>
      <x:t xml:space="preserve">How do I create a summary row that shows the </x:t>
    </x:r>
    <x:r>
      <x:rPr>
        <x:b/>
        <x:sz val="11"/>
        <x:color theme="4" tint="-0.24998"/>
        <x:rFont val="Arial"/>
        <x:family val="2"/>
      </x:rPr>
      <x:t xml:space="preserve">MIN</x:t>
    </x:r>
    <x:r>
      <x:rPr>
        <x:sz val="11"/>
        <x:color theme="4" tint="-0.24998"/>
        <x:rFont val="Arial"/>
        <x:family val="2"/>
      </x:rPr>
      <x:t xml:space="preserve"> and </x:t>
    </x:r>
    <x:r>
      <x:rPr>
        <x:b/>
        <x:sz val="11"/>
        <x:color theme="4" tint="-0.24998"/>
        <x:rFont val="Arial"/>
        <x:family val="2"/>
      </x:rPr>
      <x:t xml:space="preserve">MAX</x:t>
    </x:r>
    <x:r>
      <x:rPr>
        <x:sz val="11"/>
        <x:color theme="4" tint="-0.24998"/>
        <x:rFont val="Arial"/>
        <x:family val="2"/>
      </x:rPr>
      <x:t xml:space="preserve"> dates for all sub-tasks?</x:t>
    </x:r>
  </x:si>
  <x:si>
    <x:r>
      <x:t xml:space="preserve">In the Start column, use the formula =MIN(</x:t>
    </x:r>
    <x:r>
      <x:rPr>
        <x:i/>
        <x:sz val="11"/>
        <x:color rgb="FF000000"/>
        <x:rFont val="Arial"/>
        <x:family val="2"/>
      </x:rPr>
      <x:t xml:space="preserve">range_of_start_dates</x:t>
    </x:r>
    <x:r>
      <x:rPr>
        <x:sz val="11"/>
        <x:color rgb="FF000000"/>
        <x:rFont val="Arial"/>
        <x:family val="2"/>
      </x:rPr>
      <x:t xml:space="preserve">)</x:t>
    </x:r>
  </x:si>
  <x:si>
    <x:r>
      <x:t xml:space="preserve">In the End column, use the formula =MAX(</x:t>
    </x:r>
    <x:r>
      <x:rPr>
        <x:i/>
        <x:sz val="11"/>
        <x:color rgb="FF000000"/>
        <x:rFont val="Arial"/>
        <x:family val="2"/>
      </x:rPr>
      <x:t xml:space="preserve">range_of_end_dates</x:t>
    </x:r>
    <x:r>
      <x:rPr>
        <x:sz val="11"/>
        <x:color rgb="FF000000"/>
        <x:rFont val="Arial"/>
        <x:family val="2"/>
      </x:rPr>
      <x:t xml:space="preserve">)</x:t>
    </x:r>
  </x:si>
  <x:si>
    <x:r>
      <x:t xml:space="preserve">In the Days column, use the formula =</x:t>
    </x:r>
    <x:r>
      <x:rPr>
        <x:i/>
        <x:sz val="11"/>
        <x:color rgb="FF000000"/>
        <x:rFont val="Arial"/>
        <x:family val="2"/>
      </x:rPr>
      <x:t xml:space="preserve">end_date</x:t>
    </x:r>
    <x:r>
      <x:rPr>
        <x:sz val="11"/>
        <x:color rgb="FF000000"/>
        <x:rFont val="Arial"/>
        <x:family val="2"/>
      </x:rPr>
      <x:t xml:space="preserve">-</x:t>
    </x:r>
    <x:r>
      <x:rPr>
        <x:i/>
        <x:sz val="11"/>
        <x:color rgb="FF000000"/>
        <x:rFont val="Arial"/>
        <x:family val="2"/>
      </x:rPr>
      <x:t xml:space="preserve">start_date</x:t>
    </x:r>
    <x:r>
      <x:rPr>
        <x:sz val="11"/>
        <x:color rgb="FF000000"/>
        <x:rFont val="Arial"/>
        <x:family val="2"/>
      </x:rPr>
      <x:t xml:space="preserve">+1</x:t>
    </x:r>
  </x:si>
  <x:si>
    <x:r>
      <x:t xml:space="preserve">How do I calculate the </x:t>
    </x:r>
    <x:r>
      <x:rPr>
        <x:b/>
        <x:sz val="11"/>
        <x:color theme="4" tint="-0.24998"/>
        <x:rFont val="Arial"/>
        <x:family val="2"/>
      </x:rPr>
      <x:t xml:space="preserve">%Complete</x:t>
    </x:r>
    <x:r>
      <x:rPr>
        <x:sz val="11"/>
        <x:color theme="4" tint="-0.24998"/>
        <x:rFont val="Arial"/>
        <x:family val="2"/>
      </x:rPr>
      <x:t xml:space="preserve"> for an entire category of tasks?</x:t>
    </x:r>
  </x:si>
  <x:si>
    <x:t xml:space="preserve">The %Complete for a group of tasks can be calculated from its sub tasks using the formula below, where "workdays" is a reference to the range of work day values and "complete" is a reference to the %complete for each of the subtasks.</x:t>
  </x:si>
  <x:si>
    <x:r>
      <x:t xml:space="preserve">=SUMPRODUCT(</x:t>
    </x:r>
    <x:r>
      <x:rPr>
        <x:i/>
        <x:sz val="11"/>
        <x:rFont val="Arial"/>
        <x:family val="2"/>
      </x:rPr>
      <x:t xml:space="preserve">workdays</x:t>
    </x:r>
    <x:r>
      <x:rPr>
        <x:sz val="11"/>
        <x:rFont val="Arial"/>
        <x:family val="2"/>
      </x:rPr>
      <x:t xml:space="preserve">,</x:t>
    </x:r>
    <x:r>
      <x:rPr>
        <x:i/>
        <x:sz val="11"/>
        <x:rFont val="Arial"/>
        <x:family val="2"/>
      </x:rPr>
      <x:t xml:space="preserve">complete</x:t>
    </x:r>
    <x:r>
      <x:rPr>
        <x:sz val="11"/>
        <x:rFont val="Arial"/>
        <x:family val="2"/>
      </x:rPr>
      <x:t xml:space="preserve">)/SUM(</x:t>
    </x:r>
    <x:r>
      <x:rPr>
        <x:i/>
        <x:sz val="11"/>
        <x:rFont val="Arial"/>
        <x:family val="2"/>
      </x:rPr>
      <x:t xml:space="preserve">workdays</x:t>
    </x:r>
    <x:r>
      <x:rPr>
        <x:sz val="11"/>
        <x:rFont val="Arial"/>
        <x:family val="2"/>
      </x:rPr>
      <x:t xml:space="preserve">)</x:t>
    </x:r>
  </x:si>
  <x:si>
    <x:t xml:space="preserve">Example: Let's say you have 3 sub tasks that are 10 days, 12 days, and 14 days long, respectively. If the first subtask is 50% complete and the others are 25% complete, you could calculate the overall percent complete for the group as: =(10*50%+12*25%+14*25%)/(10+12+14).</x:t>
  </x:si>
  <x:si>
    <x:r>
      <x:t xml:space="preserve">I've </x:t>
    </x:r>
    <x:r>
      <x:rPr>
        <x:b/>
        <x:sz val="11"/>
        <x:color theme="4" tint="-0.24998"/>
        <x:rFont val="Arial"/>
        <x:family val="2"/>
      </x:rPr>
      <x:t xml:space="preserve">messed up</x:t>
    </x:r>
    <x:r>
      <x:rPr>
        <x:sz val="11"/>
        <x:color theme="4" tint="-0.24998"/>
        <x:rFont val="Arial"/>
        <x:family val="2"/>
      </x:rPr>
      <x:t xml:space="preserve"> the chart area somehow. How do I fix it?</x:t>
    </x:r>
  </x:si>
  <x:si>
    <x:t xml:space="preserve">Find a row that works, then copy the cells that make up the gantt chart area from that row into the row that is messed up.</x:t>
  </x:si>
  <x:si>
    <x:t xml:space="preserve">© 2006-2025 Vertex42 LLC</x:t>
  </x:si>
  <x:si>
    <x:t xml:space="preserve">Terms of Use</x:t>
  </x:si>
  <x:si>
    <x:t xml:space="preserve">Gantt Chart Template, by Vertex42.com</x:t>
  </x:si>
  <x:si>
    <x:t xml:space="preserve">This spreadsheet template, including all worksheets and associated content is a copyrighted work under the United States and other copyright laws.</x:t>
  </x:si>
  <x:si>
    <x:r>
      <x:t xml:space="preserve">You may download the spreadsheet template, make archival copies, and customize the template only for your </x:t>
    </x:r>
    <x:r>
      <x:rPr>
        <x:b/>
        <x:sz val="12"/>
        <x:rFont val="Arial"/>
        <x:family val="2"/>
      </x:rPr>
      <x:t xml:space="preserve">personal use or use within your company or organization</x:t>
    </x:r>
    <x:r>
      <x:rPr>
        <x:sz val="12"/>
        <x:rFont val="Arial"/>
        <x:family val="2"/>
      </x:rPr>
      <x:t xml:space="preserve"> and </x:t>
    </x:r>
    <x:r>
      <x:rPr>
        <x:b/>
        <x:sz val="12"/>
        <x:rFont val="Arial"/>
        <x:family val="2"/>
      </x:rPr>
      <x:t xml:space="preserve">not</x:t>
    </x:r>
    <x:r>
      <x:rPr>
        <x:sz val="12"/>
        <x:rFont val="Arial"/>
        <x:family val="2"/>
      </x:rPr>
      <x:t xml:space="preserve"> for resale or public sharing.</x:t>
    </x:r>
  </x:si>
  <x:si>
    <x:t xml:space="preserve">You may not remove or alter any Vertex42 logo, trademark, copyright, disclaimer, brand, terms of use, attribution, or other proprietary notices or marks within the template.</x:t>
  </x:si>
  <x:si>
    <x:t xml:space="preserve">The template and any file, document, or other work including or derived from the template may NOT be sold, distributed, published to an online gallery, hosted on a website, or placed on any server in a way that makes it available to the general public.</x:t>
  </x:si>
  <x:si>
    <x:r>
      <x:rPr>
        <x:b/>
        <x:sz val="12"/>
        <x:rFont val="Arial"/>
        <x:family val="2"/>
      </x:rPr>
      <x:t xml:space="preserve">Limited Private Sharing and Other Allowed Uses</x:t>
    </x:r>
    <x:r>
      <x:rPr>
        <x:sz val="12"/>
        <x:rFont val="Arial"/>
        <x:family val="2"/>
      </x:rPr>
      <x:t xml:space="preserve">: See the complete license agreement to learn more about how you may or may not use this template.</x:t>
    </x:r>
  </x:si>
  <x:si>
    <x:t xml:space="preserve">View the Complete License Agreement</x:t>
  </x:si>
  <x:si>
    <x:t xml:space="preserve">https://www.vertex42.com/licensing/EULA_privateuse.html</x:t>
  </x:si>
</x:sst>
</file>

<file path=xl/styles.xml><?xml version="1.0" encoding="utf-8"?>
<x:styleSheet xmlns:x="http://schemas.openxmlformats.org/spreadsheetml/2006/main">
  <x:numFmts count="4">
    <x:numFmt numFmtId="164" formatCode="m/d/yyyy\ \(dddd\)"/>
    <x:numFmt numFmtId="165" formatCode="ddd\ m/dd/yy"/>
    <x:numFmt numFmtId="166" formatCode="d"/>
    <x:numFmt numFmtId="167" formatCode="d\ mmm\ yyyy"/>
  </x:numFmts>
  <x:fonts count="72">
    <x:font>
      <x:sz val="10"/>
      <x:name val="Arial"/>
    </x:font>
    <x:font>
      <x:sz val="10"/>
      <x:name val="Arial"/>
    </x:font>
    <x:font>
      <x:sz val="10"/>
      <x:color indexed="12"/>
      <x:name val="Arial"/>
    </x:font>
    <x:font>
      <x:sz val="8"/>
      <x:name val="Arial"/>
    </x:font>
    <x:font>
      <x:sz val="8"/>
      <x:color indexed="12"/>
      <x:name val="Arial"/>
    </x:font>
    <x:font>
      <x:b/>
      <x:sz val="12"/>
      <x:name val="Arial"/>
    </x:font>
    <x:font>
      <x:sz val="10"/>
      <x:name val="Arial"/>
    </x:font>
    <x:font>
      <x:b/>
      <x:sz val="10"/>
      <x:name val="Arial"/>
    </x:font>
    <x:font>
      <x:sz val="8"/>
      <x:color indexed="81"/>
      <x:name val="Tahoma"/>
    </x:font>
    <x:font>
      <x:sz val="14"/>
      <x:color indexed="56"/>
      <x:name val="Arial"/>
    </x:font>
    <x:font>
      <x:sz val="9"/>
      <x:name val="Arial"/>
    </x:font>
    <x:font>
      <x:sz val="7"/>
      <x:color indexed="55"/>
      <x:name val="Arial"/>
    </x:font>
    <x:font>
      <x:sz val="11"/>
      <x:color indexed="8"/>
      <x:name val="Calibri"/>
    </x:font>
    <x:font>
      <x:sz val="11"/>
      <x:color indexed="9"/>
      <x:name val="Calibri"/>
    </x:font>
    <x:font>
      <x:sz val="11"/>
      <x:color indexed="36"/>
      <x:name val="Calibri"/>
    </x:font>
    <x:font>
      <x:b/>
      <x:sz val="11"/>
      <x:color indexed="50"/>
      <x:name val="Calibri"/>
    </x:font>
    <x:font>
      <x:b/>
      <x:sz val="11"/>
      <x:color indexed="9"/>
      <x:name val="Calibri"/>
    </x:font>
    <x:font>
      <x:i/>
      <x:sz val="11"/>
      <x:color indexed="23"/>
      <x:name val="Calibri"/>
    </x:font>
    <x:font>
      <x:sz val="11"/>
      <x:color indexed="17"/>
      <x:name val="Calibri"/>
    </x:font>
    <x:font>
      <x:b/>
      <x:sz val="15"/>
      <x:color indexed="18"/>
      <x:name val="Calibri"/>
    </x:font>
    <x:font>
      <x:b/>
      <x:sz val="13"/>
      <x:color indexed="18"/>
      <x:name val="Calibri"/>
    </x:font>
    <x:font>
      <x:b/>
      <x:sz val="11"/>
      <x:color indexed="18"/>
      <x:name val="Calibri"/>
    </x:font>
    <x:font>
      <x:sz val="11"/>
      <x:color indexed="53"/>
      <x:name val="Calibri"/>
    </x:font>
    <x:font>
      <x:sz val="11"/>
      <x:color indexed="50"/>
      <x:name val="Calibri"/>
    </x:font>
    <x:font>
      <x:sz val="11"/>
      <x:color indexed="59"/>
      <x:name val="Calibri"/>
    </x:font>
    <x:font>
      <x:b/>
      <x:sz val="11"/>
      <x:color indexed="63"/>
      <x:name val="Calibri"/>
    </x:font>
    <x:font>
      <x:b/>
      <x:sz val="18"/>
      <x:color indexed="18"/>
      <x:name val="Cambria"/>
    </x:font>
    <x:font>
      <x:b/>
      <x:sz val="11"/>
      <x:color indexed="8"/>
      <x:name val="Calibri"/>
    </x:font>
    <x:font>
      <x:sz val="11"/>
      <x:color indexed="10"/>
      <x:name val="Calibri"/>
    </x:font>
    <x:font>
      <x:sz val="12"/>
      <x:name val="Arial"/>
    </x:font>
    <x:font>
      <x:sz val="12"/>
      <x:color indexed="12"/>
      <x:name val="Arial"/>
    </x:font>
    <x:font>
      <x:sz val="18"/>
      <x:color theme="3"/>
      <x:name val="Arial"/>
    </x:font>
    <x:font>
      <x:sz val="18"/>
      <x:color theme="4" tint="-0.24998"/>
      <x:name val="Arial"/>
    </x:font>
    <x:font>
      <x:b/>
      <x:sz val="12"/>
      <x:color theme="4" tint="-0.24998"/>
      <x:name val="Arial"/>
    </x:font>
    <x:font>
      <x:sz val="14"/>
      <x:color indexed="12"/>
      <x:name val="Arial"/>
    </x:font>
    <x:font>
      <x:i/>
      <x:sz val="8"/>
      <x:name val="Arial"/>
    </x:font>
    <x:font>
      <x:b/>
      <x:sz val="11"/>
      <x:name val="Arial"/>
    </x:font>
    <x:font>
      <x:sz val="11"/>
      <x:color indexed="12"/>
      <x:name val="Arial"/>
    </x:font>
    <x:font>
      <x:b/>
      <x:sz val="9"/>
      <x:color indexed="81"/>
      <x:name val="Tahoma"/>
    </x:font>
    <x:font>
      <x:sz val="9"/>
      <x:color indexed="81"/>
      <x:name val="Tahoma"/>
    </x:font>
    <x:font>
      <x:b/>
      <x:i/>
      <x:sz val="9"/>
      <x:color indexed="81"/>
      <x:name val="Tahoma"/>
    </x:font>
    <x:font>
      <x:i/>
      <x:sz val="9"/>
      <x:color indexed="81"/>
      <x:name val="Tahoma"/>
    </x:font>
    <x:font>
      <x:sz val="9"/>
      <x:name val="Arial"/>
    </x:font>
    <x:font>
      <x:sz val="10"/>
      <x:name val="Arial"/>
    </x:font>
    <x:font>
      <x:sz val="11"/>
      <x:name val="Arial"/>
    </x:font>
    <x:font>
      <x:sz val="10"/>
      <x:name val="Arial"/>
    </x:font>
    <x:font>
      <x:b/>
      <x:sz val="11"/>
      <x:name val="Arial"/>
    </x:font>
    <x:font>
      <x:sz val="9"/>
      <x:color rgb="FF000000"/>
      <x:name val="Arial"/>
    </x:font>
    <x:font>
      <x:i/>
      <x:sz val="9"/>
      <x:name val="Arial"/>
    </x:font>
    <x:font>
      <x:b/>
      <x:sz val="10"/>
      <x:color rgb="FF000000"/>
      <x:name val="Arial"/>
    </x:font>
    <x:font>
      <x:sz val="10"/>
      <x:color rgb="FF000000"/>
      <x:name val="Arial"/>
    </x:font>
    <x:font>
      <x:sz val="8"/>
      <x:name val="Arial"/>
    </x:font>
    <x:font>
      <x:sz val="11"/>
      <x:name val="Arial"/>
    </x:font>
    <x:font>
      <x:sz val="14"/>
      <x:name val="Arial"/>
    </x:font>
    <x:font>
      <x:sz val="14"/>
      <x:color rgb="FF000000"/>
      <x:name val="Arial"/>
    </x:font>
    <x:font>
      <x:sz val="10"/>
      <x:name val="Arial"/>
    </x:font>
    <x:font>
      <x:b/>
      <x:sz val="9"/>
      <x:name val="Arial"/>
    </x:font>
    <x:font>
      <x:b/>
      <x:sz val="8"/>
      <x:name val="Arial"/>
    </x:font>
    <x:font>
      <x:sz val="16"/>
      <x:color theme="4" tint="-0.24998"/>
      <x:name val="Arial"/>
    </x:font>
    <x:font>
      <x:b/>
      <x:sz val="11"/>
      <x:color rgb="FF000000"/>
      <x:name val="Arial"/>
    </x:font>
    <x:font>
      <x:sz val="14"/>
      <x:color theme="4" tint="-0.24998"/>
      <x:name val="Arial"/>
    </x:font>
    <x:font>
      <x:sz val="11"/>
      <x:name val="Arial"/>
    </x:font>
    <x:font>
      <x:sz val="14"/>
      <x:name val="Arial"/>
    </x:font>
    <x:font>
      <x:sz val="11"/>
      <x:color rgb="FFFF0000"/>
      <x:name val="Arial"/>
    </x:font>
    <x:font>
      <x:b/>
      <x:sz val="11"/>
      <x:color rgb="FFFF0000"/>
      <x:name val="Arial"/>
    </x:font>
    <x:font>
      <x:sz val="11"/>
      <x:color rgb="FF000000"/>
      <x:name val="Arial"/>
    </x:font>
    <x:font>
      <x:i/>
      <x:sz val="11"/>
      <x:name val="Arial"/>
    </x:font>
    <x:font>
      <x:b/>
      <x:sz val="11"/>
      <x:color theme="4" tint="-0.24998"/>
      <x:name val="Arial"/>
    </x:font>
    <x:font>
      <x:sz val="11"/>
      <x:color theme="4" tint="-0.24998"/>
      <x:name val="Arial"/>
    </x:font>
    <x:font>
      <x:i/>
      <x:sz val="11"/>
      <x:color rgb="FF000000"/>
      <x:name val="Arial"/>
    </x:font>
    <x:font>
      <x:i/>
      <x:sz val="8"/>
      <x:color theme="0" tint="-0.34999"/>
      <x:name val="Arial"/>
    </x:font>
    <x:font>
      <x:i/>
      <x:sz val="8"/>
      <x:color theme="0" tint="-0.34999"/>
      <x:name val="Arial"/>
    </x:font>
  </x:fonts>
  <x:fills count="27">
    <x:fill>
      <x:patternFill patternType="none"/>
    </x:fill>
    <x:fill>
      <x:patternFill patternType="gray125"/>
    </x:fill>
    <x:fill>
      <x:patternFill patternType="solid">
        <x:fgColor indexed="47"/>
      </x:patternFill>
    </x:fill>
    <x:fill>
      <x:patternFill patternType="solid">
        <x:fgColor indexed="46"/>
      </x:patternFill>
    </x:fill>
    <x:fill>
      <x:patternFill patternType="solid">
        <x:fgColor indexed="41"/>
      </x:patternFill>
    </x:fill>
    <x:fill>
      <x:patternFill patternType="solid">
        <x:fgColor indexed="26"/>
      </x:patternFill>
    </x:fill>
    <x:fill>
      <x:patternFill patternType="solid">
        <x:fgColor indexed="51"/>
      </x:patternFill>
    </x:fill>
    <x:fill>
      <x:patternFill patternType="solid">
        <x:fgColor indexed="61"/>
      </x:patternFill>
    </x:fill>
    <x:fill>
      <x:patternFill patternType="solid">
        <x:fgColor indexed="52"/>
      </x:patternFill>
    </x:fill>
    <x:fill>
      <x:patternFill patternType="solid">
        <x:fgColor indexed="20"/>
      </x:patternFill>
    </x:fill>
    <x:fill>
      <x:patternFill patternType="solid">
        <x:fgColor indexed="40"/>
      </x:patternFill>
    </x:fill>
    <x:fill>
      <x:patternFill patternType="solid">
        <x:fgColor indexed="29"/>
      </x:patternFill>
    </x:fill>
    <x:fill>
      <x:patternFill patternType="solid">
        <x:fgColor indexed="14"/>
      </x:patternFill>
    </x:fill>
    <x:fill>
      <x:patternFill patternType="solid">
        <x:fgColor indexed="23"/>
      </x:patternFill>
    </x:fill>
    <x:fill>
      <x:patternFill patternType="solid">
        <x:fgColor indexed="15"/>
      </x:patternFill>
    </x:fill>
    <x:fill>
      <x:patternFill patternType="solid">
        <x:fgColor indexed="10"/>
      </x:patternFill>
    </x:fill>
    <x:fill>
      <x:patternFill patternType="solid">
        <x:fgColor indexed="45"/>
      </x:patternFill>
    </x:fill>
    <x:fill>
      <x:patternFill patternType="solid">
        <x:fgColor indexed="22"/>
      </x:patternFill>
    </x:fill>
    <x:fill>
      <x:patternFill patternType="solid">
        <x:fgColor indexed="55"/>
      </x:patternFill>
    </x:fill>
    <x:fill>
      <x:patternFill patternType="solid">
        <x:fgColor indexed="42"/>
      </x:patternFill>
    </x:fill>
    <x:fill>
      <x:patternFill patternType="solid">
        <x:fgColor indexed="9"/>
      </x:patternFill>
    </x:fill>
    <x:fill>
      <x:patternFill patternType="solid">
        <x:fgColor indexed="22"/>
      </x:patternFill>
    </x:fill>
    <x:fill>
      <x:patternFill patternType="solid">
        <x:fgColor rgb="FFFFFFFF"/>
      </x:patternFill>
    </x:fill>
    <x:fill>
      <x:patternFill patternType="solid">
        <x:fgColor theme="0" tint="-0.15"/>
      </x:patternFill>
    </x:fill>
    <x:fill>
      <x:patternFill patternType="solid">
        <x:fgColor theme="0" tint="-0.15"/>
      </x:patternFill>
    </x:fill>
    <x:fill>
      <x:patternFill patternType="solid">
        <x:fgColor theme="3" tint="0.79998"/>
      </x:patternFill>
    </x:fill>
    <x:fill>
      <x:patternFill patternType="solid">
        <x:fgColor theme="3" tint="0.79998"/>
      </x:patternFill>
    </x:fill>
  </x:fills>
  <x:borders count="25">
    <x:border/>
    <x:border>
      <x:left style="thin">
        <x:color indexed="23"/>
      </x:left>
      <x:right style="thin">
        <x:color indexed="23"/>
      </x:right>
      <x:top style="thin">
        <x:color indexed="23"/>
      </x:top>
      <x:bottom style="thin">
        <x:color indexed="23"/>
      </x:bottom>
    </x:border>
    <x:border>
      <x:left style="double">
        <x:color indexed="63"/>
      </x:left>
      <x:right style="double">
        <x:color indexed="63"/>
      </x:right>
      <x:top style="double">
        <x:color indexed="63"/>
      </x:top>
      <x:bottom style="double">
        <x:color indexed="63"/>
      </x:bottom>
    </x:border>
    <x:border>
      <x:bottom style="thick">
        <x:color indexed="40"/>
      </x:bottom>
    </x:border>
    <x:border>
      <x:bottom style="thick">
        <x:color indexed="51"/>
      </x:bottom>
    </x:border>
    <x:border>
      <x:bottom style="medium">
        <x:color indexed="52"/>
      </x:bottom>
    </x:border>
    <x:border>
      <x:bottom style="double">
        <x:color indexed="50"/>
      </x:bottom>
    </x:border>
    <x:border>
      <x:left style="thin">
        <x:color indexed="55"/>
      </x:left>
      <x:right style="thin">
        <x:color indexed="55"/>
      </x:right>
      <x:top style="thin">
        <x:color indexed="55"/>
      </x:top>
      <x:bottom style="thin">
        <x:color indexed="55"/>
      </x:bottom>
    </x:border>
    <x:border>
      <x:left style="thin">
        <x:color indexed="63"/>
      </x:left>
      <x:right style="thin">
        <x:color indexed="63"/>
      </x:right>
      <x:top style="thin">
        <x:color indexed="63"/>
      </x:top>
      <x:bottom style="thin">
        <x:color indexed="63"/>
      </x:bottom>
    </x:border>
    <x:border>
      <x:top style="thin">
        <x:color indexed="40"/>
      </x:top>
      <x:bottom style="double">
        <x:color indexed="40"/>
      </x:bottom>
    </x:border>
    <x:border>
      <x:top style="thin">
        <x:color indexed="22"/>
      </x:top>
      <x:bottom style="thin">
        <x:color indexed="22"/>
      </x:bottom>
    </x:border>
    <x:border>
      <x:bottom style="thin">
        <x:color rgb="FFEFEFEF"/>
      </x:bottom>
    </x:border>
    <x:border>
      <x:top style="thin">
        <x:color rgb="FFEFEFEF"/>
      </x:top>
      <x:bottom style="thin">
        <x:color rgb="FFEFEFEF"/>
      </x:bottom>
    </x:border>
    <x:border>
      <x:left style="thin">
        <x:color theme="0" tint="-0.24995"/>
      </x:left>
      <x:right style="thin">
        <x:color theme="0" tint="-0.24995"/>
      </x:right>
    </x:border>
    <x:border>
      <x:left style="thin">
        <x:color theme="0"/>
      </x:left>
      <x:right style="thin">
        <x:color theme="0"/>
      </x:right>
      <x:top style="thin">
        <x:color theme="0"/>
      </x:top>
      <x:bottom style="thin">
        <x:color theme="0"/>
      </x:bottom>
    </x:border>
    <x:border>
      <x:left style="thin">
        <x:color theme="0"/>
      </x:left>
      <x:right style="thin">
        <x:color theme="0"/>
      </x:right>
      <x:bottom style="thin">
        <x:color theme="0"/>
      </x:bottom>
    </x:border>
    <x:border>
      <x:bottom style="thin">
        <x:color indexed="22"/>
      </x:bottom>
    </x:border>
    <x:border>
      <x:top style="thin">
        <x:color theme="0" tint="-0.24995"/>
      </x:top>
      <x:bottom style="thin">
        <x:color theme="0" tint="-0.24995"/>
      </x:bottom>
    </x:border>
    <x:border>
      <x:left style="medium">
        <x:color theme="0" tint="-0.24995"/>
      </x:left>
      <x:right style="thin">
        <x:color theme="0" tint="-0.24995"/>
      </x:right>
    </x:border>
    <x:border>
      <x:left style="thin">
        <x:color theme="0" tint="-0.24995"/>
      </x:left>
      <x:right style="medium">
        <x:color theme="0" tint="-0.24995"/>
      </x:right>
    </x:border>
    <x:border>
      <x:bottom style="medium">
        <x:color theme="0" tint="-0.34999"/>
      </x:bottom>
    </x:border>
    <x:border>
      <x:left style="medium">
        <x:color theme="0" tint="-0.24995"/>
      </x:left>
      <x:right style="thin">
        <x:color theme="0" tint="-0.24995"/>
      </x:right>
      <x:bottom style="medium">
        <x:color theme="0" tint="-0.34999"/>
      </x:bottom>
    </x:border>
    <x:border>
      <x:left style="thin">
        <x:color theme="0" tint="-0.24995"/>
      </x:left>
      <x:right style="thin">
        <x:color theme="0" tint="-0.24995"/>
      </x:right>
      <x:bottom style="medium">
        <x:color theme="0" tint="-0.34999"/>
      </x:bottom>
    </x:border>
    <x:border>
      <x:left style="thin">
        <x:color theme="0" tint="-0.24995"/>
      </x:left>
      <x:right style="medium">
        <x:color theme="0" tint="-0.24995"/>
      </x:right>
      <x:bottom style="medium">
        <x:color theme="0" tint="-0.34999"/>
      </x:bottom>
    </x:border>
    <x:border>
      <x:bottom style="thin">
        <x:color theme="0" tint="-0.24995"/>
      </x:bottom>
    </x:border>
  </x:borders>
  <x:cellStyleXfs count="44">
    <x:xf numFmtId="0" fontId="0" fillId="0" borderId="0"/>
    <x:xf numFmtId="0" fontId="12" fillId="2" borderId="0" applyNumberFormat="0" applyBorder="0" applyAlignment="0" applyProtection="0"/>
    <x:xf numFmtId="0" fontId="12" fillId="3" borderId="0" applyNumberFormat="0" applyBorder="0" applyAlignment="0" applyProtection="0"/>
    <x:xf numFmtId="0" fontId="12" fillId="3" borderId="0" applyNumberFormat="0" applyBorder="0" applyAlignment="0" applyProtection="0"/>
    <x:xf numFmtId="0" fontId="12" fillId="2" borderId="0" applyNumberFormat="0" applyBorder="0" applyAlignment="0" applyProtection="0"/>
    <x:xf numFmtId="0" fontId="12" fillId="4" borderId="0" applyNumberFormat="0" applyBorder="0" applyAlignment="0" applyProtection="0"/>
    <x:xf numFmtId="0" fontId="12" fillId="5" borderId="0" applyNumberFormat="0" applyBorder="0" applyAlignment="0" applyProtection="0"/>
    <x:xf numFmtId="0" fontId="12" fillId="6" borderId="0" applyNumberFormat="0" applyBorder="0" applyAlignment="0" applyProtection="0"/>
    <x:xf numFmtId="0" fontId="12" fillId="7" borderId="0" applyNumberFormat="0" applyBorder="0" applyAlignment="0" applyProtection="0"/>
    <x:xf numFmtId="0" fontId="12" fillId="7" borderId="0" applyNumberFormat="0" applyBorder="0" applyAlignment="0" applyProtection="0"/>
    <x:xf numFmtId="0" fontId="12" fillId="6" borderId="0" applyNumberFormat="0" applyBorder="0" applyAlignment="0" applyProtection="0"/>
    <x:xf numFmtId="0" fontId="12" fillId="4" borderId="0" applyNumberFormat="0" applyBorder="0" applyAlignment="0" applyProtection="0"/>
    <x:xf numFmtId="0" fontId="12" fillId="5" borderId="0" applyNumberFormat="0" applyBorder="0" applyAlignment="0" applyProtection="0"/>
    <x:xf numFmtId="0" fontId="13" fillId="8" borderId="0" applyNumberFormat="0" applyBorder="0" applyAlignment="0" applyProtection="0"/>
    <x:xf numFmtId="0" fontId="13" fillId="9" borderId="0" applyNumberFormat="0" applyBorder="0" applyAlignment="0" applyProtection="0"/>
    <x:xf numFmtId="0" fontId="13" fillId="9" borderId="0" applyNumberFormat="0" applyBorder="0" applyAlignment="0" applyProtection="0"/>
    <x:xf numFmtId="0" fontId="13" fillId="8" borderId="0" applyNumberFormat="0" applyBorder="0" applyAlignment="0" applyProtection="0"/>
    <x:xf numFmtId="0" fontId="13" fillId="10" borderId="0" applyNumberFormat="0" applyBorder="0" applyAlignment="0" applyProtection="0"/>
    <x:xf numFmtId="0" fontId="13" fillId="11" borderId="0" applyNumberFormat="0" applyBorder="0" applyAlignment="0" applyProtection="0"/>
    <x:xf numFmtId="0" fontId="13" fillId="10" borderId="0" applyNumberFormat="0" applyBorder="0" applyAlignment="0" applyProtection="0"/>
    <x:xf numFmtId="0" fontId="13" fillId="12" borderId="0" applyNumberFormat="0" applyBorder="0" applyAlignment="0" applyProtection="0"/>
    <x:xf numFmtId="0" fontId="13" fillId="9" borderId="0" applyNumberFormat="0" applyBorder="0" applyAlignment="0" applyProtection="0"/>
    <x:xf numFmtId="0" fontId="13" fillId="13" borderId="0" applyNumberFormat="0" applyBorder="0" applyAlignment="0" applyProtection="0"/>
    <x:xf numFmtId="0" fontId="13" fillId="14" borderId="0" applyNumberFormat="0" applyBorder="0" applyAlignment="0" applyProtection="0"/>
    <x:xf numFmtId="0" fontId="13" fillId="15" borderId="0" applyNumberFormat="0" applyBorder="0" applyAlignment="0" applyProtection="0"/>
    <x:xf numFmtId="0" fontId="14" fillId="16" borderId="0" applyNumberFormat="0" applyBorder="0" applyAlignment="0" applyProtection="0"/>
    <x:xf numFmtId="0" fontId="15" fillId="17" borderId="1" applyNumberFormat="0" applyAlignment="0" applyProtection="0"/>
    <x:xf numFmtId="0" fontId="16" fillId="18" borderId="2" applyNumberFormat="0" applyAlignment="0" applyProtection="0"/>
    <x:xf numFmtId="0" fontId="17" fillId="0" borderId="0" applyNumberFormat="0" applyFill="0" applyBorder="0" applyAlignment="0" applyProtection="0"/>
    <x:xf numFmtId="0" fontId="18" fillId="19" borderId="0" applyNumberFormat="0" applyBorder="0" applyAlignment="0" applyProtection="0"/>
    <x:xf numFmtId="0" fontId="19" fillId="0" borderId="3" applyNumberFormat="0" applyFill="0" applyAlignment="0" applyProtection="0"/>
    <x:xf numFmtId="0" fontId="20" fillId="0" borderId="4" applyNumberFormat="0" applyFill="0" applyAlignment="0" applyProtection="0"/>
    <x:xf numFmtId="0" fontId="21" fillId="0" borderId="5" applyNumberFormat="0" applyFill="0" applyAlignment="0" applyProtection="0"/>
    <x:xf numFmtId="0" fontId="21" fillId="0" borderId="0" applyNumberFormat="0" applyFill="0" applyBorder="0" applyAlignment="0" applyProtection="0"/>
    <x:xf numFmtId="0" fontId="2" fillId="0" borderId="0" applyNumberFormat="0" applyFill="0" applyBorder="0" applyAlignment="0" applyProtection="0">
      <x:alignment vertical="top"/>
      <x:protection locked="0"/>
    </x:xf>
    <x:xf numFmtId="0" fontId="22" fillId="11" borderId="1" applyNumberFormat="0" applyAlignment="0" applyProtection="0"/>
    <x:xf numFmtId="0" fontId="23" fillId="0" borderId="6" applyNumberFormat="0" applyFill="0" applyAlignment="0" applyProtection="0"/>
    <x:xf numFmtId="0" fontId="24" fillId="5" borderId="0" applyNumberFormat="0" applyBorder="0" applyAlignment="0" applyProtection="0"/>
    <x:xf numFmtId="0" fontId="6" fillId="5" borderId="7" applyNumberFormat="0" applyFont="0" applyAlignment="0" applyProtection="0"/>
    <x:xf numFmtId="0" fontId="25" fillId="17" borderId="8" applyNumberFormat="0" applyAlignment="0" applyProtection="0"/>
    <x:xf numFmtId="9" fontId="1" fillId="0" borderId="0" applyFont="0" applyFill="0" applyBorder="0" applyAlignment="0" applyProtection="0"/>
    <x:xf numFmtId="0" fontId="26" fillId="0" borderId="0" applyNumberFormat="0" applyFill="0" applyBorder="0" applyAlignment="0" applyProtection="0"/>
    <x:xf numFmtId="0" fontId="27" fillId="0" borderId="9" applyNumberFormat="0" applyFill="0" applyAlignment="0" applyProtection="0"/>
    <x:xf numFmtId="0" fontId="28" fillId="0" borderId="0" applyNumberFormat="0" applyFill="0" applyBorder="0" applyAlignment="0" applyProtection="0"/>
  </x:cellStyleXfs>
  <x:cellXfs count="141">
    <x:xf numFmtId="0" fontId="0" fillId="0" borderId="0" xfId="0"/>
    <x:xf numFmtId="0" fontId="0" fillId="20" borderId="0" xfId="0" applyFill="1"/>
    <x:xf numFmtId="0" fontId="1" fillId="0" borderId="0" xfId="0" applyFont="1"/>
    <x:xf numFmtId="0" fontId="3" fillId="0" borderId="0" xfId="0" applyFont="1" applyAlignment="1">
      <x:alignment horizontal="right"/>
    </x:xf>
    <x:xf numFmtId="0" fontId="7" fillId="0" borderId="0" xfId="0" applyFont="1"/>
    <x:xf numFmtId="0" fontId="1" fillId="0" borderId="0" xfId="0" applyFont="1" applyAlignment="1">
      <x:alignment horizontal="left" wrapText="1"/>
    </x:xf>
    <x:xf numFmtId="0" fontId="1" fillId="0" borderId="14" xfId="0" applyFont="1" applyBorder="1"/>
    <x:xf numFmtId="0" fontId="0" fillId="0" borderId="14" xfId="0" applyBorder="1"/>
    <x:xf numFmtId="0" fontId="29" fillId="0" borderId="14" xfId="0" applyFont="1" applyBorder="1" applyAlignment="1">
      <x:alignment horizontal="left" wrapText="1"/>
    </x:xf>
    <x:xf numFmtId="0" fontId="5" fillId="0" borderId="14" xfId="0" applyFont="1" applyBorder="1" applyAlignment="1">
      <x:alignment horizontal="left" wrapText="1"/>
    </x:xf>
    <x:xf numFmtId="0" fontId="29" fillId="0" borderId="14" xfId="0" applyFont="1" applyBorder="1" applyAlignment="1">
      <x:alignment horizontal="left"/>
    </x:xf>
    <x:xf numFmtId="0" fontId="3" fillId="0" borderId="0" xfId="0" applyFont="1" applyAlignment="1">
      <x:alignment wrapText="1"/>
    </x:xf>
    <x:xf numFmtId="0" fontId="10" fillId="0" borderId="0" xfId="0" applyFont="1"/>
    <x:xf numFmtId="0" fontId="34" fillId="0" borderId="0" xfId="34" applyFont="1" applyAlignment="1"/>
    <x:xf numFmtId="0" fontId="35" fillId="0" borderId="0" xfId="0" applyFont="1"/>
    <x:xf numFmtId="0" fontId="36" fillId="0" borderId="0" xfId="0" applyFont="1"/>
    <x:xf numFmtId="0" fontId="33" fillId="0" borderId="0" xfId="0" applyFont="1"/>
    <x:xf numFmtId="0" fontId="3" fillId="0" borderId="0" xfId="0" applyFont="1" applyAlignment="1">
      <x:alignment horizontal="left" vertical="center"/>
    </x:xf>
    <x:xf numFmtId="0" fontId="2" fillId="0" borderId="0" xfId="34" applyAlignment="1">
      <x:alignment horizontal="left"/>
    </x:xf>
    <x:xf numFmtId="0" fontId="0" fillId="0" borderId="0" xfId="0"/>
    <x:xf numFmtId="0" fontId="4" fillId="20" borderId="0" xfId="34" applyNumberFormat="1" applyFont="1" applyFill="1" applyAlignment="1">
      <x:alignment horizontal="right"/>
    </x:xf>
    <x:xf numFmtId="0" fontId="32" fillId="0" borderId="0" xfId="0" applyFont="1" applyAlignment="1">
      <x:alignment vertical="center"/>
    </x:xf>
    <x:xf numFmtId="0" fontId="29" fillId="0" borderId="15" xfId="0" applyFont="1" applyBorder="1" applyAlignment="1">
      <x:alignment horizontal="left" wrapText="1"/>
    </x:xf>
    <x:xf numFmtId="0" fontId="30" fillId="0" borderId="14" xfId="34" applyFont="1" applyBorder="1" applyAlignment="1">
      <x:alignment horizontal="left" wrapText="1"/>
    </x:xf>
    <x:xf numFmtId="0" fontId="37" fillId="0" borderId="15" xfId="34" applyFont="1" applyBorder="1" applyAlignment="1">
      <x:alignment wrapText="1"/>
    </x:xf>
    <x:xf numFmtId="0" fontId="32" fillId="0" borderId="0" xfId="0" applyFont="1" applyAlignment="1">
      <x:alignment horizontal="left" vertical="center"/>
    </x:xf>
    <x:xf numFmtId="0" fontId="31" fillId="0" borderId="0" xfId="0" applyFont="1" applyAlignment="1">
      <x:alignment horizontal="left" vertical="center"/>
    </x:xf>
    <x:xf numFmtId="0" fontId="1" fillId="0" borderId="15" xfId="0" applyFont="1" applyBorder="1"/>
    <x:xf numFmtId="0" fontId="0" fillId="0" borderId="15" xfId="0" applyBorder="1"/>
    <x:xf numFmtId="0" fontId="29" fillId="0" borderId="0" xfId="0" applyFont="1" applyAlignment="1">
      <x:alignment horizontal="left" wrapText="1"/>
    </x:xf>
    <x:xf numFmtId="0" fontId="9" fillId="0" borderId="0" xfId="0" applyFont="1" applyAlignment="1">
      <x:alignment vertical="center"/>
    </x:xf>
    <x:xf numFmtId="0" fontId="43" fillId="0" borderId="0" xfId="0" applyFont="1"/>
    <x:xf numFmtId="0" fontId="44" fillId="0" borderId="0" xfId="0" applyFont="1" applyAlignment="1">
      <x:alignment vertical="center"/>
    </x:xf>
    <x:xf numFmtId="0" fontId="46" fillId="24" borderId="10" xfId="0" applyFont="1" applyFill="1" applyBorder="1" applyAlignment="1">
      <x:alignment horizontal="left" vertical="center"/>
    </x:xf>
    <x:xf numFmtId="0" fontId="46" fillId="24" borderId="10" xfId="0" applyFont="1" applyFill="1" applyBorder="1" applyAlignment="1">
      <x:alignment vertical="center"/>
    </x:xf>
    <x:xf numFmtId="0" fontId="42" fillId="24" borderId="10" xfId="0" applyFont="1" applyFill="1" applyBorder="1" applyAlignment="1">
      <x:alignment vertical="center"/>
    </x:xf>
    <x:xf numFmtId="0" fontId="42" fillId="24" borderId="10" xfId="0" applyFont="1" applyFill="1" applyBorder="1" applyAlignment="1">
      <x:alignment horizontal="center" vertical="center"/>
    </x:xf>
    <x:xf numFmtId="1" fontId="42" fillId="24" borderId="10" xfId="40" applyNumberFormat="1" applyFont="1" applyFill="1" applyBorder="1" applyAlignment="1">
      <x:alignment horizontal="center" vertical="center"/>
    </x:xf>
    <x:xf numFmtId="9" fontId="42" fillId="24" borderId="10" xfId="40" applyFont="1" applyFill="1" applyBorder="1" applyAlignment="1">
      <x:alignment horizontal="center" vertical="center"/>
    </x:xf>
    <x:xf numFmtId="1" fontId="42" fillId="24" borderId="10" xfId="0" applyNumberFormat="1" applyFont="1" applyFill="1" applyBorder="1" applyAlignment="1">
      <x:alignment horizontal="center" vertical="center"/>
    </x:xf>
    <x:xf numFmtId="0" fontId="42" fillId="0" borderId="10" xfId="0" applyFont="1" applyBorder="1" applyAlignment="1">
      <x:alignment horizontal="left" vertical="center"/>
    </x:xf>
    <x:xf numFmtId="0" fontId="42" fillId="0" borderId="10" xfId="0" applyFont="1" applyBorder="1" applyAlignment="1">
      <x:alignment vertical="center"/>
    </x:xf>
    <x:xf numFmtId="1" fontId="47" fillId="26" borderId="12" xfId="0" applyNumberFormat="1" applyFont="1" applyFill="1" applyBorder="1" applyAlignment="1">
      <x:alignment horizontal="center" vertical="center"/>
    </x:xf>
    <x:xf numFmtId="9" fontId="47" fillId="26" borderId="12" xfId="40" applyFont="1" applyFill="1" applyBorder="1" applyAlignment="1">
      <x:alignment horizontal="center" vertical="center"/>
    </x:xf>
    <x:xf numFmtId="1" fontId="47" fillId="0" borderId="12" xfId="0" applyNumberFormat="1" applyFont="1" applyBorder="1" applyAlignment="1">
      <x:alignment horizontal="center" vertical="center"/>
    </x:xf>
    <x:xf numFmtId="0" fontId="48" fillId="0" borderId="10" xfId="0" applyFont="1" applyBorder="1" applyAlignment="1">
      <x:alignment vertical="center"/>
    </x:xf>
    <x:xf numFmtId="0" fontId="42" fillId="0" borderId="10" xfId="0" applyFont="1" applyBorder="1" applyAlignment="1">
      <x:alignment horizontal="center" vertical="center"/>
    </x:xf>
    <x:xf numFmtId="1" fontId="42" fillId="0" borderId="10" xfId="40" applyNumberFormat="1" applyFont="1" applyFill="1" applyBorder="1" applyAlignment="1">
      <x:alignment horizontal="center" vertical="center"/>
    </x:xf>
    <x:xf numFmtId="9" fontId="42" fillId="0" borderId="10" xfId="40" applyFont="1" applyFill="1" applyBorder="1" applyAlignment="1">
      <x:alignment horizontal="center" vertical="center"/>
    </x:xf>
    <x:xf numFmtId="1" fontId="42" fillId="0" borderId="10" xfId="0" applyNumberFormat="1" applyFont="1" applyBorder="1" applyAlignment="1">
      <x:alignment horizontal="center" vertical="center"/>
    </x:xf>
    <x:xf numFmtId="0" fontId="42" fillId="0" borderId="0" xfId="0" applyFont="1" applyAlignment="1">
      <x:alignment vertical="center"/>
    </x:xf>
    <x:xf numFmtId="0" fontId="49" fillId="23" borderId="0" xfId="0" applyFont="1" applyFill="1" applyAlignment="1">
      <x:alignment vertical="center"/>
    </x:xf>
    <x:xf numFmtId="0" fontId="45" fillId="24" borderId="0" xfId="0" applyFont="1" applyFill="1" applyAlignment="1">
      <x:alignment vertical="center"/>
    </x:xf>
    <x:xf numFmtId="0" fontId="50" fillId="23" borderId="0" xfId="0" applyFont="1" applyFill="1" applyAlignment="1">
      <x:alignment vertical="center"/>
    </x:xf>
    <x:xf numFmtId="0" fontId="51" fillId="24" borderId="0" xfId="0" applyFont="1" applyFill="1" applyAlignment="1">
      <x:alignment vertical="center"/>
    </x:xf>
    <x:xf numFmtId="0" fontId="51" fillId="0" borderId="0" xfId="0" applyFont="1" applyAlignment="1">
      <x:alignment vertical="center"/>
    </x:xf>
    <x:xf numFmtId="0" fontId="47" fillId="23" borderId="0" xfId="0" applyFont="1" applyFill="1" applyAlignment="1">
      <x:alignment vertical="center"/>
    </x:xf>
    <x:xf numFmtId="0" fontId="42" fillId="24" borderId="0" xfId="0" applyFont="1" applyFill="1" applyAlignment="1">
      <x:alignment vertical="center"/>
    </x:xf>
    <x:xf numFmtId="0" fontId="47" fillId="22" borderId="11" xfId="0" applyFont="1" applyFill="1" applyBorder="1" applyAlignment="1">
      <x:alignment vertical="center"/>
    </x:xf>
    <x:xf numFmtId="0" fontId="47" fillId="0" borderId="12" xfId="0" applyFont="1" applyBorder="1" applyAlignment="1">
      <x:alignment horizontal="center" vertical="center"/>
    </x:xf>
    <x:xf numFmtId="0" fontId="47" fillId="0" borderId="12" xfId="0" applyFont="1" applyBorder="1" applyAlignment="1">
      <x:alignment vertical="center"/>
    </x:xf>
    <x:xf numFmtId="0" fontId="47" fillId="0" borderId="12" xfId="0" applyFont="1" applyBorder="1" applyAlignment="1">
      <x:alignment horizontal="left" vertical="center"/>
    </x:xf>
    <x:xf numFmtId="166" fontId="3" fillId="0" borderId="13" xfId="0" applyNumberFormat="1" applyFont="1" applyBorder="1" applyAlignment="1">
      <x:alignment horizontal="center" vertical="center"/>
    </x:xf>
    <x:xf numFmtId="0" fontId="46" fillId="24" borderId="16" xfId="0" applyFont="1" applyFill="1" applyBorder="1" applyAlignment="1">
      <x:alignment horizontal="left" vertical="center"/>
    </x:xf>
    <x:xf numFmtId="0" fontId="46" fillId="24" borderId="16" xfId="0" applyFont="1" applyFill="1" applyBorder="1" applyAlignment="1">
      <x:alignment vertical="center"/>
    </x:xf>
    <x:xf numFmtId="0" fontId="42" fillId="24" borderId="16" xfId="0" applyFont="1" applyFill="1" applyBorder="1" applyAlignment="1">
      <x:alignment vertical="center"/>
    </x:xf>
    <x:xf numFmtId="0" fontId="42" fillId="24" borderId="16" xfId="0" applyFont="1" applyFill="1" applyBorder="1" applyAlignment="1">
      <x:alignment horizontal="center" vertical="center"/>
    </x:xf>
    <x:xf numFmtId="165" fontId="42" fillId="24" borderId="16" xfId="0" applyNumberFormat="1" applyFont="1" applyFill="1" applyBorder="1" applyAlignment="1">
      <x:alignment horizontal="right" vertical="center"/>
    </x:xf>
    <x:xf numFmtId="1" fontId="42" fillId="24" borderId="16" xfId="40" applyNumberFormat="1" applyFont="1" applyFill="1" applyBorder="1" applyAlignment="1">
      <x:alignment horizontal="center" vertical="center"/>
    </x:xf>
    <x:xf numFmtId="9" fontId="42" fillId="24" borderId="16" xfId="40" applyFont="1" applyFill="1" applyBorder="1" applyAlignment="1">
      <x:alignment horizontal="center" vertical="center"/>
    </x:xf>
    <x:xf numFmtId="1" fontId="42" fillId="24" borderId="16" xfId="0" applyNumberFormat="1" applyFont="1" applyFill="1" applyBorder="1" applyAlignment="1">
      <x:alignment horizontal="center" vertical="center"/>
    </x:xf>
    <x:xf numFmtId="166" fontId="3" fillId="0" borderId="18" xfId="0" applyNumberFormat="1" applyFont="1" applyBorder="1" applyAlignment="1">
      <x:alignment horizontal="center" vertical="center"/>
    </x:xf>
    <x:xf numFmtId="166" fontId="3" fillId="0" borderId="19" xfId="0" applyNumberFormat="1" applyFont="1" applyBorder="1" applyAlignment="1">
      <x:alignment horizontal="center" vertical="center"/>
    </x:xf>
    <x:xf numFmtId="1" fontId="53" fillId="24" borderId="16" xfId="0" applyNumberFormat="1" applyFont="1" applyFill="1" applyBorder="1" applyAlignment="1">
      <x:alignment horizontal="center" vertical="center"/>
    </x:xf>
    <x:xf numFmtId="1" fontId="54" fillId="0" borderId="12" xfId="0" applyNumberFormat="1" applyFont="1" applyBorder="1" applyAlignment="1">
      <x:alignment horizontal="center" vertical="center"/>
    </x:xf>
    <x:xf numFmtId="1" fontId="53" fillId="24" borderId="10" xfId="0" applyNumberFormat="1" applyFont="1" applyFill="1" applyBorder="1" applyAlignment="1">
      <x:alignment horizontal="center" vertical="center"/>
    </x:xf>
    <x:xf numFmtId="1" fontId="53" fillId="0" borderId="10" xfId="0" applyNumberFormat="1" applyFont="1" applyBorder="1" applyAlignment="1">
      <x:alignment horizontal="center" vertical="center"/>
    </x:xf>
    <x:xf numFmtId="0" fontId="53" fillId="24" borderId="0" xfId="0" applyFont="1" applyFill="1" applyAlignment="1">
      <x:alignment vertical="center"/>
    </x:xf>
    <x:xf numFmtId="165" fontId="47" fillId="25" borderId="12" xfId="0" applyNumberFormat="1" applyFont="1" applyFill="1" applyBorder="1" applyAlignment="1">
      <x:alignment horizontal="center" vertical="center"/>
    </x:xf>
    <x:xf numFmtId="165" fontId="47" fillId="0" borderId="12" xfId="0" applyNumberFormat="1" applyFont="1" applyBorder="1" applyAlignment="1">
      <x:alignment horizontal="center" vertical="center"/>
    </x:xf>
    <x:xf numFmtId="165" fontId="42" fillId="24" borderId="10" xfId="0" applyNumberFormat="1" applyFont="1" applyFill="1" applyBorder="1" applyAlignment="1">
      <x:alignment horizontal="center" vertical="center"/>
    </x:xf>
    <x:xf numFmtId="0" fontId="48" fillId="0" borderId="10" xfId="0" applyFont="1" applyBorder="1" applyAlignment="1">
      <x:alignment horizontal="center" vertical="center"/>
    </x:xf>
    <x:xf numFmtId="0" fontId="50" fillId="23" borderId="0" xfId="0" applyFont="1" applyFill="1" applyAlignment="1">
      <x:alignment horizontal="center" vertical="center"/>
    </x:xf>
    <x:xf numFmtId="0" fontId="42" fillId="24" borderId="0" xfId="0" applyFont="1" applyFill="1" applyAlignment="1">
      <x:alignment horizontal="center" vertical="center"/>
    </x:xf>
    <x:xf numFmtId="0" fontId="42" fillId="24" borderId="16" xfId="0" applyFont="1" applyFill="1" applyBorder="1" applyAlignment="1">
      <x:alignment horizontal="left" vertical="center"/>
    </x:xf>
    <x:xf numFmtId="9" fontId="42" fillId="0" borderId="10" xfId="0" applyNumberFormat="1" applyFont="1" applyBorder="1" applyAlignment="1">
      <x:alignment horizontal="left" vertical="center"/>
    </x:xf>
    <x:xf numFmtId="0" fontId="42" fillId="24" borderId="10" xfId="0" applyFont="1" applyFill="1" applyBorder="1" applyAlignment="1">
      <x:alignment horizontal="left" vertical="center"/>
    </x:xf>
    <x:xf numFmtId="0" fontId="55" fillId="0" borderId="0" xfId="0" applyFont="1"/>
    <x:xf numFmtId="0" fontId="55" fillId="0" borderId="0" xfId="0" applyFont="1" applyAlignment="1">
      <x:alignment horizontal="right" vertical="center"/>
    </x:xf>
    <x:xf numFmtId="165" fontId="42" fillId="24" borderId="16" xfId="0" applyNumberFormat="1" applyFont="1" applyFill="1" applyBorder="1" applyAlignment="1">
      <x:alignment horizontal="center" vertical="center"/>
    </x:xf>
    <x:xf numFmtId="0" fontId="56" fillId="0" borderId="20" xfId="0" applyFont="1" applyBorder="1" applyAlignment="1">
      <x:alignment horizontal="left" vertical="center"/>
    </x:xf>
    <x:xf numFmtId="0" fontId="56" fillId="0" borderId="20" xfId="0" applyFont="1" applyBorder="1" applyAlignment="1">
      <x:alignment horizontal="center" vertical="center" wrapText="1"/>
    </x:xf>
    <x:xf numFmtId="0" fontId="57" fillId="0" borderId="20" xfId="0" applyFont="1" applyBorder="1" applyAlignment="1">
      <x:alignment horizontal="center" vertical="center" wrapText="1"/>
    </x:xf>
    <x:xf numFmtId="0" fontId="56" fillId="0" borderId="20" xfId="0" applyFont="1" applyBorder="1" applyAlignment="1">
      <x:alignment horizontal="center" vertical="center"/>
    </x:xf>
    <x:xf numFmtId="0" fontId="42" fillId="0" borderId="21" xfId="0" applyFont="1" applyBorder="1" applyAlignment="1">
      <x:alignment horizontal="center" vertical="center"/>
    </x:xf>
    <x:xf numFmtId="0" fontId="42" fillId="0" borderId="22" xfId="0" applyFont="1" applyBorder="1" applyAlignment="1">
      <x:alignment horizontal="center" vertical="center"/>
    </x:xf>
    <x:xf numFmtId="0" fontId="42" fillId="0" borderId="23" xfId="0" applyFont="1" applyBorder="1" applyAlignment="1">
      <x:alignment horizontal="center" vertical="center"/>
    </x:xf>
    <x:xf numFmtId="0" fontId="58" fillId="0" borderId="0" xfId="0" applyFont="1" applyAlignment="1">
      <x:alignment vertical="center"/>
    </x:xf>
    <x:xf numFmtId="0" fontId="42" fillId="0" borderId="10" xfId="0" applyFont="1" applyBorder="1" applyAlignment="1">
      <x:alignment vertical="center" wrapText="1"/>
    </x:xf>
    <x:xf numFmtId="0" fontId="47" fillId="0" borderId="12" xfId="0" applyFont="1" applyBorder="1" applyAlignment="1">
      <x:alignment horizontal="center" vertical="center"/>
    </x:xf>
    <x:xf numFmtId="0" fontId="42" fillId="0" borderId="10" xfId="0" applyFont="1" applyBorder="1" applyAlignment="1">
      <x:alignment horizontal="left" vertical="center" wrapText="1"/>
    </x:xf>
    <x:xf numFmtId="0" fontId="45" fillId="0" borderId="24" xfId="0" applyFont="1" applyBorder="1" applyAlignment="1">
      <x:alignment horizontal="center" vertical="center"/>
    </x:xf>
    <x:xf numFmtId="0" fontId="46" fillId="0" borderId="10" xfId="0" applyFont="1" applyBorder="1" applyAlignment="1">
      <x:alignment horizontal="left" vertical="center"/>
    </x:xf>
    <x:xf numFmtId="0" fontId="59" fillId="22" borderId="11" xfId="0" applyFont="1" applyFill="1" applyBorder="1" applyAlignment="1">
      <x:alignment vertical="center"/>
    </x:xf>
    <x:xf numFmtId="0" fontId="1" fillId="0" borderId="0" xfId="0" applyFont="1" applyAlignment="1">
      <x:alignment horizontal="right" vertical="center"/>
    </x:xf>
    <x:xf numFmtId="0" fontId="60" fillId="0" borderId="0" xfId="0" applyFont="1"/>
    <x:xf numFmtId="0" fontId="1" fillId="0" borderId="0" xfId="0" applyFont="1" applyAlignment="1">
      <x:alignment vertical="center"/>
    </x:xf>
    <x:xf numFmtId="0" fontId="1" fillId="26" borderId="0" xfId="0" applyFont="1" applyFill="1" applyAlignment="1">
      <x:alignment horizontal="center" vertical="center"/>
    </x:xf>
    <x:xf numFmtId="0" fontId="1" fillId="21" borderId="0" xfId="0" applyFont="1" applyFill="1" applyAlignment="1">
      <x:alignment horizontal="center" vertical="center"/>
    </x:xf>
    <x:xf numFmtId="0" fontId="61" fillId="0" borderId="0" xfId="0" applyFont="1" applyAlignment="1">
      <x:alignment wrapText="1"/>
    </x:xf>
    <x:xf numFmtId="0" fontId="37" fillId="0" borderId="0" xfId="34" applyFont="1" applyAlignment="1"/>
    <x:xf numFmtId="0" fontId="61" fillId="0" borderId="0" xfId="0" applyFont="1" applyAlignment="1">
      <x:alignment horizontal="left" wrapText="1"/>
    </x:xf>
    <x:xf numFmtId="0" fontId="61" fillId="0" borderId="0" xfId="0" applyFont="1" applyAlignment="1">
      <x:alignment vertical="center" wrapText="1"/>
    </x:xf>
    <x:xf numFmtId="0" fontId="62" fillId="0" borderId="0" xfId="0" applyFont="1" applyAlignment="1">
      <x:alignment vertical="center"/>
    </x:xf>
    <x:xf numFmtId="0" fontId="62" fillId="0" borderId="0" xfId="0" applyFont="1"/>
    <x:xf numFmtId="0" fontId="63" fillId="0" borderId="0" xfId="0" applyFont="1" applyAlignment="1">
      <x:alignment vertical="center" wrapText="1"/>
    </x:xf>
    <x:xf numFmtId="0" fontId="37" fillId="0" borderId="0" xfId="34" applyFont="1" applyFill="1" applyBorder="1" applyAlignment="1">
      <x:alignment vertical="center"/>
    </x:xf>
    <x:xf numFmtId="0" fontId="65" fillId="0" borderId="0" xfId="0" applyFont="1" applyAlignment="1">
      <x:alignment horizontal="right"/>
    </x:xf>
    <x:xf numFmtId="0" fontId="61" fillId="0" borderId="0" xfId="0" applyFont="1"/>
    <x:xf numFmtId="0" fontId="61" fillId="0" borderId="0" xfId="0" applyFont="1" applyAlignment="1">
      <x:alignment horizontal="left"/>
    </x:xf>
    <x:xf numFmtId="0" fontId="61" fillId="0" borderId="0" xfId="0" applyFont="1" applyAlignment="1">
      <x:alignment horizontal="left" wrapText="1"/>
    </x:xf>
    <x:xf numFmtId="0" fontId="36" fillId="0" borderId="0" xfId="0" applyFont="1" applyAlignment="1">
      <x:alignment horizontal="left"/>
    </x:xf>
    <x:xf numFmtId="0" fontId="65" fillId="0" borderId="0" xfId="0" applyFont="1" applyAlignment="1">
      <x:alignment horizontal="left" wrapText="1"/>
    </x:xf>
    <x:xf numFmtId="0" fontId="61" fillId="0" borderId="0" xfId="0" applyFont="1" applyAlignment="1">
      <x:alignment horizontal="left" vertical="center" wrapText="1"/>
    </x:xf>
    <x:xf numFmtId="0" fontId="67" fillId="0" borderId="0" xfId="0" applyFont="1" applyAlignment="1">
      <x:alignment horizontal="right"/>
    </x:xf>
    <x:xf numFmtId="0" fontId="68" fillId="0" borderId="0" xfId="0" applyFont="1" applyAlignment="1">
      <x:alignment vertical="center" wrapText="1"/>
    </x:xf>
    <x:xf numFmtId="0" fontId="61" fillId="0" borderId="0" xfId="0" applyFont="1" applyAlignment="1">
      <x:alignment wrapText="1"/>
    </x:xf>
    <x:xf numFmtId="0" fontId="68" fillId="0" borderId="0" xfId="0" applyFont="1"/>
    <x:xf numFmtId="0" fontId="11" fillId="0" borderId="0" xfId="0" applyFont="1"/>
    <x:xf numFmtId="0" fontId="67" fillId="0" borderId="0" xfId="0" applyFont="1"/>
    <x:xf numFmtId="0" fontId="2" fillId="0" borderId="0" xfId="34" applyNumberFormat="1" applyFill="1" applyBorder="1" applyAlignment="1"/>
    <x:xf numFmtId="164" fontId="45" fillId="0" borderId="17" xfId="0" applyNumberFormat="1" applyFont="1" applyBorder="1" applyAlignment="1">
      <x:alignment horizontal="center" vertical="center"/>
    </x:xf>
    <x:xf numFmtId="0" fontId="52" fillId="0" borderId="18" xfId="0" applyFont="1" applyBorder="1" applyAlignment="1">
      <x:alignment horizontal="center" vertical="center"/>
    </x:xf>
    <x:xf numFmtId="0" fontId="52" fillId="0" borderId="13" xfId="0" applyFont="1" applyBorder="1" applyAlignment="1">
      <x:alignment horizontal="center" vertical="center"/>
    </x:xf>
    <x:xf numFmtId="0" fontId="52" fillId="0" borderId="19" xfId="0" applyFont="1" applyBorder="1" applyAlignment="1">
      <x:alignment horizontal="center" vertical="center"/>
    </x:xf>
    <x:xf numFmtId="164" fontId="45" fillId="0" borderId="24" xfId="0" applyNumberFormat="1" applyFont="1" applyBorder="1" applyAlignment="1">
      <x:alignment horizontal="center" vertical="center"/>
    </x:xf>
    <x:xf numFmtId="167" fontId="45" fillId="0" borderId="18" xfId="0" applyNumberFormat="1" applyFont="1" applyBorder="1" applyAlignment="1">
      <x:alignment horizontal="center" vertical="center"/>
    </x:xf>
    <x:xf numFmtId="167" fontId="45" fillId="0" borderId="13" xfId="0" applyNumberFormat="1" applyFont="1" applyBorder="1" applyAlignment="1">
      <x:alignment horizontal="center" vertical="center"/>
    </x:xf>
    <x:xf numFmtId="167" fontId="45" fillId="0" borderId="19" xfId="0" applyNumberFormat="1" applyFont="1" applyBorder="1" applyAlignment="1">
      <x:alignment horizontal="center" vertical="center"/>
    </x:xf>
    <x:xf numFmtId="0" fontId="60" fillId="0" borderId="0" xfId="0" applyFont="1" applyAlignment="1">
      <x:alignment horizontal="left"/>
    </x:xf>
    <x:xf numFmtId="0" fontId="70" fillId="0" borderId="0" xfId="34" applyFont="1" applyBorder="1" applyAlignment="1">
      <x:alignment horizontal="left" vertical="center"/>
    </x:xf>
  </x:cellXfs>
  <x:cellStyles count="44">
    <x:cellStyle name="20% - Accent1" xfId="1"/>
    <x:cellStyle name="20% - Accent2" xfId="2"/>
    <x:cellStyle name="20% - Accent3" xfId="3"/>
    <x:cellStyle name="20% - Accent4" xfId="4"/>
    <x:cellStyle name="20% - Accent5" xfId="5"/>
    <x:cellStyle name="20% - Accent6" xfId="6"/>
    <x:cellStyle name="40% - Accent1" xfId="7"/>
    <x:cellStyle name="40% - Accent2" xfId="8"/>
    <x:cellStyle name="40% - Accent3" xfId="9"/>
    <x:cellStyle name="40% - Accent4" xfId="10"/>
    <x:cellStyle name="40% - Accent5" xfId="11"/>
    <x:cellStyle name="40% - Accent6" xfId="12"/>
    <x:cellStyle name="60% - Accent1" xfId="13"/>
    <x:cellStyle name="60% - Accent2" xfId="14"/>
    <x:cellStyle name="60% - Accent3" xfId="15"/>
    <x:cellStyle name="60% - Accent4" xfId="16"/>
    <x:cellStyle name="60% - Accent5" xfId="17"/>
    <x:cellStyle name="60% - Accent6" xfId="18"/>
    <x:cellStyle name="Accent1" xfId="19"/>
    <x:cellStyle name="Accent2" xfId="20"/>
    <x:cellStyle name="Accent3" xfId="21"/>
    <x:cellStyle name="Accent4" xfId="22"/>
    <x:cellStyle name="Accent5" xfId="23"/>
    <x:cellStyle name="Accent6" xfId="24"/>
    <x:cellStyle name="Bad" xfId="25"/>
    <x:cellStyle name="Calculation" xfId="26"/>
    <x:cellStyle name="Check Cell" xfId="27"/>
    <x:cellStyle name="Explanatory Text" xfId="28"/>
    <x:cellStyle name="Good" xfId="29"/>
    <x:cellStyle name="Heading 1" xfId="30"/>
    <x:cellStyle name="Heading 2" xfId="31"/>
    <x:cellStyle name="Heading 3" xfId="32"/>
    <x:cellStyle name="Heading 4" xfId="33"/>
    <x:cellStyle name="Hyperlink" xfId="34"/>
    <x:cellStyle name="Input" xfId="35"/>
    <x:cellStyle name="Linked Cell" xfId="36"/>
    <x:cellStyle name="Neutral" xfId="37"/>
    <x:cellStyle name="Normal" xfId="0"/>
    <x:cellStyle name="Note" xfId="38"/>
    <x:cellStyle name="Output" xfId="39"/>
    <x:cellStyle name="Percent" xfId="40"/>
    <x:cellStyle name="Title" xfId="41"/>
    <x:cellStyle name="Total" xfId="42"/>
    <x:cellStyle name="Warning Text" xfId="43"/>
  </x:cellStyles>
  <x:dxfs count="4">
    <x:dxf>
      <x:fill>
        <x:patternFill>
          <x:bgColor rgb="FF0070C0"/>
        </x:patternFill>
      </x:fill>
    </x:dxf>
    <x:dxf>
      <x:fill>
        <x:patternFill>
          <x:bgColor theme="0" tint="-0.49998"/>
        </x:patternFill>
      </x:fill>
    </x:dxf>
    <x:dxf>
      <x:border>
        <x:left style="thin">
          <x:color rgb="FFC00000"/>
        </x:left>
        <x:right style="thin">
          <x:color rgb="FFC00000"/>
        </x:right>
      </x:border>
    </x:dxf>
    <x:dxf>
      <x:font>
        <x:color theme="0"/>
      </x:font>
      <x:fill>
        <x:patternFill>
          <x:bgColor theme="5"/>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99FF99"/>
      <x:rgbColor rgb="000000FF"/>
      <x:rgbColor rgb="00FFFF00"/>
      <x:rgbColor rgb="00DE3018"/>
      <x:rgbColor rgb="0053D4C9"/>
      <x:rgbColor rgb="006B0C00"/>
      <x:rgbColor rgb="00006500"/>
      <x:rgbColor rgb="00182C63"/>
      <x:rgbColor rgb="00819C00"/>
      <x:rgbColor rgb="00C9B783"/>
      <x:rgbColor rgb="00007F74"/>
      <x:rgbColor rgb="00EAEAEA"/>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6699FF"/>
      <x:rgbColor rgb="00CCECFF"/>
      <x:rgbColor rgb="00D6F4D9"/>
      <x:rgbColor rgb="00FFFFCC"/>
      <x:rgbColor rgb="0099CCFF"/>
      <x:rgbColor rgb="00FAC8D7"/>
      <x:rgbColor rgb="00F3F0E4"/>
      <x:rgbColor rgb="00E4E8F3"/>
      <x:rgbColor rgb="001849B5"/>
      <x:rgbColor rgb="0036ACA2"/>
      <x:rgbColor rgb="00F0BA00"/>
      <x:rgbColor rgb="00BCC5E1"/>
      <x:rgbColor rgb="008394C9"/>
      <x:rgbColor rgb="003B4E87"/>
      <x:rgbColor rgb="0087743B"/>
      <x:rgbColor rgb="00C0C0C0"/>
      <x:rgbColor rgb="00003366"/>
      <x:rgbColor rgb="00109618"/>
      <x:rgbColor rgb="00085108"/>
      <x:rgbColor rgb="00635100"/>
      <x:rgbColor rgb="00273359"/>
      <x:rgbColor rgb="00E1D8BC"/>
      <x:rgbColor rgb="00594C27"/>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30c327bce2f45c2" /><Relationship Type="http://schemas.openxmlformats.org/officeDocument/2006/relationships/theme" Target="/xl/theme/theme1.xml" Id="R770e0fa56f7b48d7" /><Relationship Type="http://schemas.openxmlformats.org/officeDocument/2006/relationships/sharedStrings" Target="/xl/sharedStrings.xml" Id="Rb35d1c429a9042e9" /><Relationship Type="http://schemas.openxmlformats.org/officeDocument/2006/relationships/worksheet" Target="/xl/worksheets/sheet1.xml" Id="Rc1f3184726bf4937" /><Relationship Type="http://schemas.openxmlformats.org/officeDocument/2006/relationships/worksheet" Target="/xl/worksheets/sheet2.xml" Id="R935fe220616b44d2" /><Relationship Type="http://schemas.openxmlformats.org/officeDocument/2006/relationships/worksheet" Target="/xl/worksheets/sheet3.xml" Id="Rcf763fb052974733" /><Relationship Type="http://schemas.openxmlformats.org/officeDocument/2006/relationships/worksheet" Target="/xl/worksheets/sheet4.xml" Id="R85875c10d4d54b1a" /><Relationship Type="http://schemas.microsoft.com/office/2017/10/relationships/person" Target="/xl/persons/person.xml" Id="R7c04a95e0699462c" /></Relationships>
</file>

<file path=xl/drawings/_rels/drawing1.xml.rels>&#65279;<?xml version="1.0" encoding="utf-8"?><Relationships xmlns="http://schemas.openxmlformats.org/package/2006/relationships"><Relationship Type="http://schemas.openxmlformats.org/officeDocument/2006/relationships/image" Target="/xl/media/image.png" Id="R08dc9fc6b17948e4" /><Relationship Type="http://schemas.openxmlformats.org/officeDocument/2006/relationships/image" Target="/xl/media/image2.png" Id="Rc0848475556e4b83" /></Relationships>
</file>

<file path=xl/drawings/_rels/drawing2.xml.rels>&#65279;<?xml version="1.0" encoding="utf-8"?><Relationships xmlns="http://schemas.openxmlformats.org/package/2006/relationships"><Relationship Type="http://schemas.openxmlformats.org/officeDocument/2006/relationships/image" Target="/xl/media/image3.png" Id="Reeace0a615ab419b" /><Relationship Type="http://schemas.openxmlformats.org/officeDocument/2006/relationships/image" Target="/xl/media/image4.png" Id="R0967df24d27d4f38" /></Relationships>
</file>

<file path=xl/drawings/_rels/drawing3.xml.rels>&#65279;<?xml version="1.0" encoding="utf-8"?><Relationships xmlns="http://schemas.openxmlformats.org/package/2006/relationships"><Relationship Type="http://schemas.openxmlformats.org/officeDocument/2006/relationships/image" Target="/xl/media/image5.png" Id="R21c48df368954a30" /></Relationships>
</file>

<file path=xl/drawings/_rels/drawing4.xml.rels>&#65279;<?xml version="1.0" encoding="utf-8"?><Relationships xmlns="http://schemas.openxmlformats.org/package/2006/relationships"><Relationship Type="http://schemas.openxmlformats.org/officeDocument/2006/relationships/image" Target="/xl/media/image6.png" Id="R577c467960aa48dd" /></Relationships>
</file>

<file path=xl/drawings/drawing1.xml><?xml version="1.0" encoding="utf-8"?>
<xdr:wsDr xmlns:xdr="http://schemas.openxmlformats.org/drawingml/2006/spreadsheetDrawing">
  <xdr:twoCellAnchor editAs="oneCell">
    <xdr:from>
      <xdr:col>8</xdr:col>
      <xdr:colOff>266700</xdr:colOff>
      <xdr:row>5</xdr:row>
      <xdr:rowOff>142875</xdr:rowOff>
    </xdr:from>
    <xdr:to>
      <xdr:col>29</xdr:col>
      <xdr:colOff>57150</xdr:colOff>
      <xdr:row>10</xdr:row>
      <xdr:rowOff>80433</xdr:rowOff>
    </xdr:to>
    <xdr:sp>
      <xdr:nvSpPr>
        <xdr:cNvPr id="1" name="Text Box 44"/>
        <xdr:cNvSpPr>
          <a:spLocks xmlns:a="http://schemas.openxmlformats.org/drawingml/2006/main" noGrp="1"/>
        </xdr:cNvSpPr>
      </xdr:nvSpPr>
      <xdr:spPr>
        <a:xfrm xmlns:a="http://schemas.openxmlformats.org/drawingml/2006/main">
          <a:off x="4953000" y="1371600"/>
          <a:ext cx="3419475" cy="1104900"/>
        </a:xfrm>
        <a:prstGeom xmlns:a="http://schemas.openxmlformats.org/drawingml/2006/main" prst="rect">
          <a:avLst/>
        </a:prstGeom>
        <a:solidFill xmlns:a="http://schemas.openxmlformats.org/drawingml/2006/main">
          <a:srgbClr val="FFFFE1"/>
        </a:solidFill>
        <a:ln xmlns:a="http://schemas.openxmlformats.org/drawingml/2006/main" w="9525">
          <a:solidFill>
            <a:srgbClr val="000000"/>
          </a:solidFill>
          <a:miter/>
        </a:ln>
      </xdr:spPr>
    </xdr:sp>
    <xdr:clientData/>
  </xdr:twoCellAnchor>
  <xdr:oneCellAnchor>
    <xdr:from>
      <xdr:col>3</xdr:col>
      <xdr:colOff>0</xdr:colOff>
      <xdr:row>0</xdr:row>
      <xdr:rowOff>0</xdr:rowOff>
    </xdr:from>
    <xdr:ext cx="1123950" cy="400050"/>
    <xdr:pic>
      <xdr:nvPicPr>
        <xdr:cNvPr id="2" name="/xl/media/image.png"/>
        <xdr:cNvPicPr>
          <a:picLocks xmlns:a="http://schemas.openxmlformats.org/drawingml/2006/main" noChangeAspect="1"/>
        </xdr:cNvPicPr>
      </xdr:nvPicPr>
      <xdr:blipFill>
        <a:blip xmlns:r="http://schemas.openxmlformats.org/officeDocument/2006/relationships" xmlns:a="http://schemas.openxmlformats.org/drawingml/2006/main" r:embed="R08dc9fc6b17948e4"/>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0</xdr:row>
      <xdr:rowOff>0</xdr:rowOff>
    </xdr:from>
    <xdr:ext cx="1123950" cy="400050"/>
    <xdr:pic>
      <xdr:nvPicPr>
        <xdr:cNvPr id="3" name="56e452cb-24ea-4576-8e06-bf8e20a8a048"/>
        <xdr:cNvPicPr>
          <a:picLocks xmlns:a="http://schemas.openxmlformats.org/drawingml/2006/main" noChangeAspect="1"/>
        </xdr:cNvPicPr>
      </xdr:nvPicPr>
      <xdr:blipFill>
        <a:blip xmlns:r="http://schemas.openxmlformats.org/officeDocument/2006/relationships" xmlns:a="http://schemas.openxmlformats.org/drawingml/2006/main" r:embed="Rc0848475556e4b83"/>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twoCellAnchor editAs="oneCell">
    <xdr:from>
      <xdr:col>1</xdr:col>
      <xdr:colOff>121921</xdr:colOff>
      <xdr:row>2</xdr:row>
      <xdr:rowOff>129540</xdr:rowOff>
    </xdr:from>
    <xdr:to>
      <xdr:col>1</xdr:col>
      <xdr:colOff>2141220</xdr:colOff>
      <xdr:row>12</xdr:row>
      <xdr:rowOff>198120</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eeace0a615ab419b"/>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2" name="/xl/media/image3.png"/>
        <xdr:cNvPicPr>
          <a:picLocks xmlns:a="http://schemas.openxmlformats.org/drawingml/2006/main" noChangeAspect="1"/>
        </xdr:cNvPicPr>
      </xdr:nvPicPr>
      <xdr:blipFill>
        <a:blip xmlns:r="http://schemas.openxmlformats.org/officeDocument/2006/relationships" xmlns:a="http://schemas.openxmlformats.org/drawingml/2006/main" r:embed="R0967df24d27d4f38"/>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1</xdr:col>
      <xdr:colOff>4495800</xdr:colOff>
      <xdr:row>0</xdr:row>
      <xdr:rowOff>1</xdr:rowOff>
    </xdr:from>
    <xdr:to>
      <xdr:col>1</xdr:col>
      <xdr:colOff>6000750</xdr:colOff>
      <xdr:row>0</xdr:row>
      <xdr:rowOff>338615</xdr:rowOff>
    </xdr:to>
    <xdr:pic>
      <xdr:nvPicPr>
        <xdr:cNvPr id="1" name="/xl/media/image4.png"/>
        <xdr:cNvPicPr>
          <a:picLocks xmlns:a="http://schemas.openxmlformats.org/drawingml/2006/main" noChangeAspect="1"/>
        </xdr:cNvPicPr>
      </xdr:nvPicPr>
      <xdr:blipFill>
        <a:blip xmlns:r="http://schemas.openxmlformats.org/officeDocument/2006/relationships" xmlns:a="http://schemas.openxmlformats.org/drawingml/2006/main" r:embed="R21c48df368954a30"/>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1</xdr:col>
      <xdr:colOff>3771899</xdr:colOff>
      <xdr:row>0</xdr:row>
      <xdr:rowOff>1</xdr:rowOff>
    </xdr:from>
    <xdr:to>
      <xdr:col>1</xdr:col>
      <xdr:colOff>5381624</xdr:colOff>
      <xdr:row>0</xdr:row>
      <xdr:rowOff>362189</xdr:rowOff>
    </xdr:to>
    <xdr:pic>
      <xdr:nvPicPr>
        <xdr:cNvPr id="1" name="/xl/media/image5.png"/>
        <xdr:cNvPicPr>
          <a:picLocks xmlns:a="http://schemas.openxmlformats.org/drawingml/2006/main" noChangeAspect="1"/>
        </xdr:cNvPicPr>
      </xdr:nvPicPr>
      <xdr:blipFill>
        <a:blip xmlns:r="http://schemas.openxmlformats.org/officeDocument/2006/relationships" xmlns:a="http://schemas.openxmlformats.org/drawingml/2006/main" r:embed="R577c467960aa48dd"/>
        <a:stretch xmlns:a="http://schemas.openxmlformats.org/drawingml/2006/main">
          <a:fillRect/>
        </a:stretch>
      </xdr:blipFill>
      <xdr:spPr>
        <a:prstGeom xmlns:a="http://schemas.openxmlformats.org/drawingml/2006/main" prst="rect"/>
      </xdr:spPr>
    </xdr:pic>
    <xdr:clientData/>
  </xdr:twoCellAnchor>
</xdr:wsDr>
</file>

<file path=xl/persons/person.xml><?xml version="1.0" encoding="utf-8"?>
<xltc:personList xmlns:xltc="http://schemas.microsoft.com/office/spreadsheetml/2018/threadedcomments">
  <xltc:person displayName="Vertex42" id="{1C0A0AA8-C27D-E90D-596A-795A488EF577}"/>
  <xltc:person displayName="Vertex42.com Templates" id="{A1B722FC-5EC8-7248-46B2-9EDF2141C380}"/>
  <xltc:person displayName="Vertex42" id="{B3A7D0A3-ED4E-DE83-DA80-9DB69F0E44CD}"/>
</xltc:personList>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v42-Gant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3df27bc04a6642b1" /><Relationship Type="http://schemas.openxmlformats.org/officeDocument/2006/relationships/vmlDrawing" Target="/xl/drawings/vmldrawing.vml" Id="Rd22a04e0c61a472d" /><Relationship Type="http://schemas.openxmlformats.org/officeDocument/2006/relationships/drawing" Target="/xl/drawings/drawing1.xml" Id="R7cb2ea696813495c" /></Relationships>
</file>

<file path=xl/worksheets/_rels/sheet2.xml.rels>&#65279;<?xml version="1.0" encoding="utf-8"?><Relationships xmlns="http://schemas.openxmlformats.org/package/2006/relationships"><Relationship Type="http://schemas.openxmlformats.org/officeDocument/2006/relationships/hyperlink" Target="https://www.vertex42.com/Links/go.php?urlid=GanttChartPro" TargetMode="External" Id="R49791f4b508e493d" /><Relationship Type="http://schemas.openxmlformats.org/officeDocument/2006/relationships/hyperlink" Target="https://www.vertex42.com/blog/business/pm/new-gantt-chart-for-excel-online.html" TargetMode="External" Id="R5502c833429d4b55" /><Relationship Type="http://schemas.openxmlformats.org/officeDocument/2006/relationships/hyperlink" Target="https://www.vertex42.com/Links/go.php?urlid=GanttChartPro" TargetMode="External" Id="Rb612aa2651694745" /><Relationship Type="http://schemas.openxmlformats.org/officeDocument/2006/relationships/drawing" Target="/xl/drawings/drawing2.xml" Id="R2054251f5be74fbb" /></Relationships>
</file>

<file path=xl/worksheets/_rels/sheet3.xml.rels>&#65279;<?xml version="1.0" encoding="utf-8"?><Relationships xmlns="http://schemas.openxmlformats.org/package/2006/relationships"><Relationship Type="http://schemas.openxmlformats.org/officeDocument/2006/relationships/hyperlink" Target="https://www.vertex42.com/ExcelTemplates/excel-gantt-chart.html" TargetMode="External" Id="Re626cd4598784304" /><Relationship Type="http://schemas.openxmlformats.org/officeDocument/2006/relationships/hyperlink" Target="https://www.vertex42.com/Links/go.php?urlid=GanttChartPro" TargetMode="External" Id="R17e6e279e0cb4725" /><Relationship Type="http://schemas.openxmlformats.org/officeDocument/2006/relationships/hyperlink" Target="https://excel.uservoice.com/forums/304921-excel-for-windows-desktop-application/suggestions/19676413-make-paste-and-merge-conditional-formatting-the" TargetMode="External" Id="R7cca42aba67b4caf" /><Relationship Type="http://schemas.openxmlformats.org/officeDocument/2006/relationships/comments" Target="/xl/comments2.xml" Id="R18061d132ccc4b5e" /><Relationship Type="http://schemas.openxmlformats.org/officeDocument/2006/relationships/vmlDrawing" Target="/xl/drawings/vmldrawing2.vml" Id="Rf941b4d1d5f34a88" /><Relationship Type="http://schemas.openxmlformats.org/officeDocument/2006/relationships/drawing" Target="/xl/drawings/drawing3.xml" Id="R8ed27d4b34b94f0f" /></Relationships>
</file>

<file path=xl/worksheets/_rels/sheet4.xml.rels>&#65279;<?xml version="1.0" encoding="utf-8"?><Relationships xmlns="http://schemas.openxmlformats.org/package/2006/relationships"><Relationship Type="http://schemas.openxmlformats.org/officeDocument/2006/relationships/hyperlink" Target="https://www.vertex42.com/ExcelTemplates/excel-gantt-chart.html" TargetMode="External" Id="Rdb49b114070d45c8" /><Relationship Type="http://schemas.openxmlformats.org/officeDocument/2006/relationships/hyperlink" Target="https://www.vertex42.com/licensing/EULA_privateuse.html" TargetMode="External" Id="Raeb0dff46dd04211" /><Relationship Type="http://schemas.openxmlformats.org/officeDocument/2006/relationships/drawing" Target="/xl/drawings/drawing4.xml" Id="R21fd49c0c69546ab"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ColWidth="9.140625" defaultRowHeight="12.75"/>
  <x:cols>
    <x:col min="1" max="1" width="6.85546875" customWidth="1"/>
    <x:col min="2" max="2" width="19" customWidth="1"/>
    <x:col min="3" max="3" width="7.7109375" customWidth="1"/>
    <x:col min="4" max="4" width="6.85546875" hidden="1" customWidth="1"/>
    <x:col min="5" max="6" width="12" customWidth="1"/>
    <x:col min="7" max="7" width="6" customWidth="1"/>
    <x:col min="8" max="8" width="6.7109375" customWidth="1"/>
    <x:col min="9" max="9" width="6.42578125" customWidth="1"/>
    <x:col min="10" max="10" width="1.85546875" customWidth="1"/>
    <x:col min="11" max="66" width="2.42578125" customWidth="1"/>
  </x:cols>
  <x:sheetData>
    <x:row r="1" ht="30" customHeight="1">
      <x:c r="A1" s="97" t="s">
        <x:v>0</x:v>
      </x:c>
      <x:c r="B1" s="30"/>
      <x:c r="C1" s="30"/>
      <x:c r="D1" s="30"/>
      <x:c r="E1" s="30"/>
      <x:c r="F1" s="30"/>
      <x:c r="I1" s="104"/>
      <x:c r="K1" s="140" t="s">
        <x:v>1</x:v>
      </x:c>
      <x:c r="L1" s="140"/>
      <x:c r="M1" s="140"/>
      <x:c r="N1" s="140"/>
      <x:c r="O1" s="140"/>
      <x:c r="P1" s="140"/>
      <x:c r="Q1" s="140"/>
      <x:c r="R1" s="140"/>
      <x:c r="S1" s="140"/>
      <x:c r="T1" s="140"/>
      <x:c r="U1" s="140"/>
      <x:c r="V1" s="140"/>
      <x:c r="W1" s="140"/>
      <x:c r="X1" s="140"/>
      <x:c r="Y1" s="140"/>
      <x:c r="Z1" s="140"/>
      <x:c r="AA1" s="140"/>
      <x:c r="AB1" s="140"/>
      <x:c r="AC1" s="140"/>
      <x:c r="AD1" s="140"/>
      <x:c r="AE1" s="140"/>
    </x:row>
    <x:row r="2" ht="18" customHeight="1">
      <x:c r="A2" s="32" t="s">
        <x:v>2</x:v>
      </x:c>
      <x:c r="B2" s="12"/>
      <x:c r="C2" s="12"/>
      <x:c r="D2" s="20"/>
      <x:c r="E2" s="128"/>
      <x:c r="F2" s="128"/>
      <x:c r="H2" s="1"/>
    </x:row>
    <x:row r="3" ht="14.25">
      <x:c r="A3" s="32"/>
      <x:c r="B3" s="2"/>
      <x:c r="H3" s="1"/>
      <x:c r="K3" s="18"/>
      <x:c r="L3" s="18"/>
      <x:c r="M3" s="18"/>
      <x:c r="N3" s="18"/>
      <x:c r="O3" s="18"/>
      <x:c r="P3" s="18"/>
      <x:c r="Q3" s="18"/>
      <x:c r="R3" s="18"/>
      <x:c r="S3" s="18"/>
      <x:c r="T3" s="18"/>
      <x:c r="U3" s="18"/>
      <x:c r="V3" s="18"/>
      <x:c r="W3" s="18"/>
      <x:c r="X3" s="18"/>
      <x:c r="Y3" s="18"/>
      <x:c r="Z3" s="18"/>
      <x:c r="AA3" s="18"/>
    </x:row>
    <x:row r="4" ht="17.25" customHeight="1">
      <x:c r="A4" s="87"/>
      <x:c r="B4" s="88" t="s">
        <x:v>3</x:v>
      </x:c>
      <x:c r="C4" s="135">
        <x:v>43129</x:v>
      </x:c>
      <x:c r="D4" s="135"/>
      <x:c r="E4" s="135"/>
      <x:c r="F4" s="87"/>
      <x:c r="G4" s="88" t="s">
        <x:v>4</x:v>
      </x:c>
      <x:c r="H4" s="101">
        <x:v>1</x:v>
      </x:c>
      <x:c r="I4" s="2"/>
      <x:c r="J4" s="31"/>
      <x:c r="K4" s="132" t="str">
        <x:f>"Week "&amp;(K6-($C$4-WEEKDAY($C$4,1)+2))/7+1</x:f>
        <x:v>Week 1</x:v>
      </x:c>
      <x:c r="L4" s="133"/>
      <x:c r="M4" s="133"/>
      <x:c r="N4" s="133"/>
      <x:c r="O4" s="133"/>
      <x:c r="P4" s="133"/>
      <x:c r="Q4" s="134"/>
      <x:c r="R4" s="132" t="str">
        <x:f>"Week "&amp;(R6-($C$4-WEEKDAY($C$4,1)+2))/7+1</x:f>
        <x:v>Week 2</x:v>
      </x:c>
      <x:c r="S4" s="133"/>
      <x:c r="T4" s="133"/>
      <x:c r="U4" s="133"/>
      <x:c r="V4" s="133"/>
      <x:c r="W4" s="133"/>
      <x:c r="X4" s="134"/>
      <x:c r="Y4" s="132" t="str">
        <x:f>"Week "&amp;(Y6-($C$4-WEEKDAY($C$4,1)+2))/7+1</x:f>
        <x:v>Week 3</x:v>
      </x:c>
      <x:c r="Z4" s="133"/>
      <x:c r="AA4" s="133"/>
      <x:c r="AB4" s="133"/>
      <x:c r="AC4" s="133"/>
      <x:c r="AD4" s="133"/>
      <x:c r="AE4" s="134"/>
      <x:c r="AF4" s="132" t="str">
        <x:f>"Week "&amp;(AF6-($C$4-WEEKDAY($C$4,1)+2))/7+1</x:f>
        <x:v>Week 4</x:v>
      </x:c>
      <x:c r="AG4" s="133"/>
      <x:c r="AH4" s="133"/>
      <x:c r="AI4" s="133"/>
      <x:c r="AJ4" s="133"/>
      <x:c r="AK4" s="133"/>
      <x:c r="AL4" s="134"/>
      <x:c r="AM4" s="132" t="str">
        <x:f>"Week "&amp;(AM6-($C$4-WEEKDAY($C$4,1)+2))/7+1</x:f>
        <x:v>Week 5</x:v>
      </x:c>
      <x:c r="AN4" s="133"/>
      <x:c r="AO4" s="133"/>
      <x:c r="AP4" s="133"/>
      <x:c r="AQ4" s="133"/>
      <x:c r="AR4" s="133"/>
      <x:c r="AS4" s="134"/>
      <x:c r="AT4" s="132" t="str">
        <x:f>"Week "&amp;(AT6-($C$4-WEEKDAY($C$4,1)+2))/7+1</x:f>
        <x:v>Week 6</x:v>
      </x:c>
      <x:c r="AU4" s="133"/>
      <x:c r="AV4" s="133"/>
      <x:c r="AW4" s="133"/>
      <x:c r="AX4" s="133"/>
      <x:c r="AY4" s="133"/>
      <x:c r="AZ4" s="134"/>
      <x:c r="BA4" s="132" t="str">
        <x:f>"Week "&amp;(BA6-($C$4-WEEKDAY($C$4,1)+2))/7+1</x:f>
        <x:v>Week 7</x:v>
      </x:c>
      <x:c r="BB4" s="133"/>
      <x:c r="BC4" s="133"/>
      <x:c r="BD4" s="133"/>
      <x:c r="BE4" s="133"/>
      <x:c r="BF4" s="133"/>
      <x:c r="BG4" s="134"/>
      <x:c r="BH4" s="132" t="str">
        <x:f>"Week "&amp;(BH6-($C$4-WEEKDAY($C$4,1)+2))/7+1</x:f>
        <x:v>Week 8</x:v>
      </x:c>
      <x:c r="BI4" s="133"/>
      <x:c r="BJ4" s="133"/>
      <x:c r="BK4" s="133"/>
      <x:c r="BL4" s="133"/>
      <x:c r="BM4" s="133"/>
      <x:c r="BN4" s="134"/>
    </x:row>
    <x:row r="5" ht="17.25" customHeight="1">
      <x:c r="A5" s="87"/>
      <x:c r="B5" s="88" t="s">
        <x:v>5</x:v>
      </x:c>
      <x:c r="C5" s="131"/>
      <x:c r="D5" s="131"/>
      <x:c r="E5" s="131"/>
      <x:c r="F5" s="87"/>
      <x:c r="G5" s="87"/>
      <x:c r="H5" s="87"/>
      <x:c r="I5" s="87"/>
      <x:c r="J5" s="31"/>
      <x:c r="K5" s="136">
        <x:f>K6</x:f>
        <x:v>43129</x:v>
      </x:c>
      <x:c r="L5" s="137"/>
      <x:c r="M5" s="137"/>
      <x:c r="N5" s="137"/>
      <x:c r="O5" s="137"/>
      <x:c r="P5" s="137"/>
      <x:c r="Q5" s="138"/>
      <x:c r="R5" s="136">
        <x:f>R6</x:f>
        <x:v>43136</x:v>
      </x:c>
      <x:c r="S5" s="137"/>
      <x:c r="T5" s="137"/>
      <x:c r="U5" s="137"/>
      <x:c r="V5" s="137"/>
      <x:c r="W5" s="137"/>
      <x:c r="X5" s="138"/>
      <x:c r="Y5" s="136">
        <x:f>Y6</x:f>
        <x:v>43143</x:v>
      </x:c>
      <x:c r="Z5" s="137"/>
      <x:c r="AA5" s="137"/>
      <x:c r="AB5" s="137"/>
      <x:c r="AC5" s="137"/>
      <x:c r="AD5" s="137"/>
      <x:c r="AE5" s="138"/>
      <x:c r="AF5" s="136">
        <x:f>AF6</x:f>
        <x:v>43150</x:v>
      </x:c>
      <x:c r="AG5" s="137"/>
      <x:c r="AH5" s="137"/>
      <x:c r="AI5" s="137"/>
      <x:c r="AJ5" s="137"/>
      <x:c r="AK5" s="137"/>
      <x:c r="AL5" s="138"/>
      <x:c r="AM5" s="136">
        <x:f>AM6</x:f>
        <x:v>43157</x:v>
      </x:c>
      <x:c r="AN5" s="137"/>
      <x:c r="AO5" s="137"/>
      <x:c r="AP5" s="137"/>
      <x:c r="AQ5" s="137"/>
      <x:c r="AR5" s="137"/>
      <x:c r="AS5" s="138"/>
      <x:c r="AT5" s="136">
        <x:f>AT6</x:f>
        <x:v>43164</x:v>
      </x:c>
      <x:c r="AU5" s="137"/>
      <x:c r="AV5" s="137"/>
      <x:c r="AW5" s="137"/>
      <x:c r="AX5" s="137"/>
      <x:c r="AY5" s="137"/>
      <x:c r="AZ5" s="138"/>
      <x:c r="BA5" s="136">
        <x:f>BA6</x:f>
        <x:v>43171</x:v>
      </x:c>
      <x:c r="BB5" s="137"/>
      <x:c r="BC5" s="137"/>
      <x:c r="BD5" s="137"/>
      <x:c r="BE5" s="137"/>
      <x:c r="BF5" s="137"/>
      <x:c r="BG5" s="138"/>
      <x:c r="BH5" s="136">
        <x:f>BH6</x:f>
        <x:v>43178</x:v>
      </x:c>
      <x:c r="BI5" s="137"/>
      <x:c r="BJ5" s="137"/>
      <x:c r="BK5" s="137"/>
      <x:c r="BL5" s="137"/>
      <x:c r="BM5" s="137"/>
      <x:c r="BN5" s="138"/>
    </x:row>
    <x:row r="6">
      <x:c r="A6" s="31"/>
      <x:c r="B6" s="31"/>
      <x:c r="C6" s="31"/>
      <x:c r="D6" s="31"/>
      <x:c r="E6" s="31"/>
      <x:c r="F6" s="31"/>
      <x:c r="G6" s="31"/>
      <x:c r="H6" s="31"/>
      <x:c r="I6" s="31"/>
      <x:c r="J6" s="31"/>
      <x:c r="K6" s="71">
        <x:f>C4-WEEKDAY(C4,1)+2+7*(H4-1)</x:f>
        <x:v>43129</x:v>
      </x:c>
      <x:c r="L6" s="62">
        <x:f t="shared" ref="L6:AQ6" si="0">K6+1</x:f>
        <x:v>43130</x:v>
      </x:c>
      <x:c r="M6" s="62">
        <x:f t="shared" si="0"/>
        <x:v>43131</x:v>
      </x:c>
      <x:c r="N6" s="62">
        <x:f t="shared" si="0"/>
        <x:v>43132</x:v>
      </x:c>
      <x:c r="O6" s="62">
        <x:f t="shared" si="0"/>
        <x:v>43133</x:v>
      </x:c>
      <x:c r="P6" s="62">
        <x:f t="shared" si="0"/>
        <x:v>43134</x:v>
      </x:c>
      <x:c r="Q6" s="72">
        <x:f t="shared" si="0"/>
        <x:v>43135</x:v>
      </x:c>
      <x:c r="R6" s="71">
        <x:f t="shared" si="0"/>
        <x:v>43136</x:v>
      </x:c>
      <x:c r="S6" s="62">
        <x:f t="shared" si="0"/>
        <x:v>43137</x:v>
      </x:c>
      <x:c r="T6" s="62">
        <x:f t="shared" si="0"/>
        <x:v>43138</x:v>
      </x:c>
      <x:c r="U6" s="62">
        <x:f t="shared" si="0"/>
        <x:v>43139</x:v>
      </x:c>
      <x:c r="V6" s="62">
        <x:f t="shared" si="0"/>
        <x:v>43140</x:v>
      </x:c>
      <x:c r="W6" s="62">
        <x:f t="shared" si="0"/>
        <x:v>43141</x:v>
      </x:c>
      <x:c r="X6" s="72">
        <x:f t="shared" si="0"/>
        <x:v>43142</x:v>
      </x:c>
      <x:c r="Y6" s="71">
        <x:f t="shared" si="0"/>
        <x:v>43143</x:v>
      </x:c>
      <x:c r="Z6" s="62">
        <x:f t="shared" si="0"/>
        <x:v>43144</x:v>
      </x:c>
      <x:c r="AA6" s="62">
        <x:f t="shared" si="0"/>
        <x:v>43145</x:v>
      </x:c>
      <x:c r="AB6" s="62">
        <x:f t="shared" si="0"/>
        <x:v>43146</x:v>
      </x:c>
      <x:c r="AC6" s="62">
        <x:f t="shared" si="0"/>
        <x:v>43147</x:v>
      </x:c>
      <x:c r="AD6" s="62">
        <x:f t="shared" si="0"/>
        <x:v>43148</x:v>
      </x:c>
      <x:c r="AE6" s="72">
        <x:f t="shared" si="0"/>
        <x:v>43149</x:v>
      </x:c>
      <x:c r="AF6" s="71">
        <x:f t="shared" si="0"/>
        <x:v>43150</x:v>
      </x:c>
      <x:c r="AG6" s="62">
        <x:f t="shared" si="0"/>
        <x:v>43151</x:v>
      </x:c>
      <x:c r="AH6" s="62">
        <x:f t="shared" si="0"/>
        <x:v>43152</x:v>
      </x:c>
      <x:c r="AI6" s="62">
        <x:f t="shared" si="0"/>
        <x:v>43153</x:v>
      </x:c>
      <x:c r="AJ6" s="62">
        <x:f t="shared" si="0"/>
        <x:v>43154</x:v>
      </x:c>
      <x:c r="AK6" s="62">
        <x:f t="shared" si="0"/>
        <x:v>43155</x:v>
      </x:c>
      <x:c r="AL6" s="72">
        <x:f t="shared" si="0"/>
        <x:v>43156</x:v>
      </x:c>
      <x:c r="AM6" s="71">
        <x:f t="shared" si="0"/>
        <x:v>43157</x:v>
      </x:c>
      <x:c r="AN6" s="62">
        <x:f t="shared" si="0"/>
        <x:v>43158</x:v>
      </x:c>
      <x:c r="AO6" s="62">
        <x:f t="shared" si="0"/>
        <x:v>43159</x:v>
      </x:c>
      <x:c r="AP6" s="62">
        <x:f t="shared" si="0"/>
        <x:v>43160</x:v>
      </x:c>
      <x:c r="AQ6" s="62">
        <x:f t="shared" si="0"/>
        <x:v>43161</x:v>
      </x:c>
      <x:c r="AR6" s="62">
        <x:f t="shared" ref="AR6:BN6" si="1">AQ6+1</x:f>
        <x:v>43162</x:v>
      </x:c>
      <x:c r="AS6" s="72">
        <x:f t="shared" si="1"/>
        <x:v>43163</x:v>
      </x:c>
      <x:c r="AT6" s="71">
        <x:f t="shared" si="1"/>
        <x:v>43164</x:v>
      </x:c>
      <x:c r="AU6" s="62">
        <x:f t="shared" si="1"/>
        <x:v>43165</x:v>
      </x:c>
      <x:c r="AV6" s="62">
        <x:f t="shared" si="1"/>
        <x:v>43166</x:v>
      </x:c>
      <x:c r="AW6" s="62">
        <x:f t="shared" si="1"/>
        <x:v>43167</x:v>
      </x:c>
      <x:c r="AX6" s="62">
        <x:f t="shared" si="1"/>
        <x:v>43168</x:v>
      </x:c>
      <x:c r="AY6" s="62">
        <x:f t="shared" si="1"/>
        <x:v>43169</x:v>
      </x:c>
      <x:c r="AZ6" s="72">
        <x:f t="shared" si="1"/>
        <x:v>43170</x:v>
      </x:c>
      <x:c r="BA6" s="71">
        <x:f t="shared" si="1"/>
        <x:v>43171</x:v>
      </x:c>
      <x:c r="BB6" s="62">
        <x:f t="shared" si="1"/>
        <x:v>43172</x:v>
      </x:c>
      <x:c r="BC6" s="62">
        <x:f t="shared" si="1"/>
        <x:v>43173</x:v>
      </x:c>
      <x:c r="BD6" s="62">
        <x:f t="shared" si="1"/>
        <x:v>43174</x:v>
      </x:c>
      <x:c r="BE6" s="62">
        <x:f t="shared" si="1"/>
        <x:v>43175</x:v>
      </x:c>
      <x:c r="BF6" s="62">
        <x:f t="shared" si="1"/>
        <x:v>43176</x:v>
      </x:c>
      <x:c r="BG6" s="72">
        <x:f t="shared" si="1"/>
        <x:v>43177</x:v>
      </x:c>
      <x:c r="BH6" s="71">
        <x:f t="shared" si="1"/>
        <x:v>43178</x:v>
      </x:c>
      <x:c r="BI6" s="62">
        <x:f t="shared" si="1"/>
        <x:v>43179</x:v>
      </x:c>
      <x:c r="BJ6" s="62">
        <x:f t="shared" si="1"/>
        <x:v>43180</x:v>
      </x:c>
      <x:c r="BK6" s="62">
        <x:f t="shared" si="1"/>
        <x:v>43181</x:v>
      </x:c>
      <x:c r="BL6" s="62">
        <x:f t="shared" si="1"/>
        <x:v>43182</x:v>
      </x:c>
      <x:c r="BM6" s="62">
        <x:f t="shared" si="1"/>
        <x:v>43183</x:v>
      </x:c>
      <x:c r="BN6" s="72">
        <x:f t="shared" si="1"/>
        <x:v>43184</x:v>
      </x:c>
    </x:row>
    <x:row r="7" s="2" customFormat="1" ht="24.75">
      <x:c r="A7" s="90" t="s">
        <x:v>6</x:v>
      </x:c>
      <x:c r="B7" s="90" t="s">
        <x:v>7</x:v>
      </x:c>
      <x:c r="C7" s="91" t="s">
        <x:v>8</x:v>
      </x:c>
      <x:c r="D7" s="92" t="s">
        <x:v>9</x:v>
      </x:c>
      <x:c r="E7" s="93" t="s">
        <x:v>10</x:v>
      </x:c>
      <x:c r="F7" s="93" t="s">
        <x:v>11</x:v>
      </x:c>
      <x:c r="G7" s="91" t="s">
        <x:v>12</x:v>
      </x:c>
      <x:c r="H7" s="91" t="s">
        <x:v>13</x:v>
      </x:c>
      <x:c r="I7" s="91" t="s">
        <x:v>14</x:v>
      </x:c>
      <x:c r="J7" s="91"/>
      <x:c r="K7" s="94" t="str">
        <x:f t="shared" ref="K7:AP7" si="2">CHOOSE(WEEKDAY(K6,1),"S","M","T","W","T","F","S")</x:f>
        <x:v>M</x:v>
      </x:c>
      <x:c r="L7" s="95" t="str">
        <x:f t="shared" si="2"/>
        <x:v>T</x:v>
      </x:c>
      <x:c r="M7" s="95" t="str">
        <x:f t="shared" si="2"/>
        <x:v>W</x:v>
      </x:c>
      <x:c r="N7" s="95" t="str">
        <x:f t="shared" si="2"/>
        <x:v>T</x:v>
      </x:c>
      <x:c r="O7" s="95" t="str">
        <x:f t="shared" si="2"/>
        <x:v>F</x:v>
      </x:c>
      <x:c r="P7" s="95" t="str">
        <x:f t="shared" si="2"/>
        <x:v>S</x:v>
      </x:c>
      <x:c r="Q7" s="96" t="str">
        <x:f t="shared" si="2"/>
        <x:v>S</x:v>
      </x:c>
      <x:c r="R7" s="94" t="str">
        <x:f t="shared" si="2"/>
        <x:v>M</x:v>
      </x:c>
      <x:c r="S7" s="95" t="str">
        <x:f t="shared" si="2"/>
        <x:v>T</x:v>
      </x:c>
      <x:c r="T7" s="95" t="str">
        <x:f t="shared" si="2"/>
        <x:v>W</x:v>
      </x:c>
      <x:c r="U7" s="95" t="str">
        <x:f t="shared" si="2"/>
        <x:v>T</x:v>
      </x:c>
      <x:c r="V7" s="95" t="str">
        <x:f t="shared" si="2"/>
        <x:v>F</x:v>
      </x:c>
      <x:c r="W7" s="95" t="str">
        <x:f t="shared" si="2"/>
        <x:v>S</x:v>
      </x:c>
      <x:c r="X7" s="96" t="str">
        <x:f t="shared" si="2"/>
        <x:v>S</x:v>
      </x:c>
      <x:c r="Y7" s="94" t="str">
        <x:f t="shared" si="2"/>
        <x:v>M</x:v>
      </x:c>
      <x:c r="Z7" s="95" t="str">
        <x:f t="shared" si="2"/>
        <x:v>T</x:v>
      </x:c>
      <x:c r="AA7" s="95" t="str">
        <x:f t="shared" si="2"/>
        <x:v>W</x:v>
      </x:c>
      <x:c r="AB7" s="95" t="str">
        <x:f t="shared" si="2"/>
        <x:v>T</x:v>
      </x:c>
      <x:c r="AC7" s="95" t="str">
        <x:f t="shared" si="2"/>
        <x:v>F</x:v>
      </x:c>
      <x:c r="AD7" s="95" t="str">
        <x:f t="shared" si="2"/>
        <x:v>S</x:v>
      </x:c>
      <x:c r="AE7" s="96" t="str">
        <x:f t="shared" si="2"/>
        <x:v>S</x:v>
      </x:c>
      <x:c r="AF7" s="94" t="str">
        <x:f t="shared" si="2"/>
        <x:v>M</x:v>
      </x:c>
      <x:c r="AG7" s="95" t="str">
        <x:f t="shared" si="2"/>
        <x:v>T</x:v>
      </x:c>
      <x:c r="AH7" s="95" t="str">
        <x:f t="shared" si="2"/>
        <x:v>W</x:v>
      </x:c>
      <x:c r="AI7" s="95" t="str">
        <x:f t="shared" si="2"/>
        <x:v>T</x:v>
      </x:c>
      <x:c r="AJ7" s="95" t="str">
        <x:f t="shared" si="2"/>
        <x:v>F</x:v>
      </x:c>
      <x:c r="AK7" s="95" t="str">
        <x:f t="shared" si="2"/>
        <x:v>S</x:v>
      </x:c>
      <x:c r="AL7" s="96" t="str">
        <x:f t="shared" si="2"/>
        <x:v>S</x:v>
      </x:c>
      <x:c r="AM7" s="94" t="str">
        <x:f t="shared" si="2"/>
        <x:v>M</x:v>
      </x:c>
      <x:c r="AN7" s="95" t="str">
        <x:f t="shared" si="2"/>
        <x:v>T</x:v>
      </x:c>
      <x:c r="AO7" s="95" t="str">
        <x:f t="shared" si="2"/>
        <x:v>W</x:v>
      </x:c>
      <x:c r="AP7" s="95" t="str">
        <x:f t="shared" si="2"/>
        <x:v>T</x:v>
      </x:c>
      <x:c r="AQ7" s="95" t="str">
        <x:f t="shared" ref="AQ7:BN7" si="3">CHOOSE(WEEKDAY(AQ6,1),"S","M","T","W","T","F","S")</x:f>
        <x:v>F</x:v>
      </x:c>
      <x:c r="AR7" s="95" t="str">
        <x:f t="shared" si="3"/>
        <x:v>S</x:v>
      </x:c>
      <x:c r="AS7" s="96" t="str">
        <x:f t="shared" si="3"/>
        <x:v>S</x:v>
      </x:c>
      <x:c r="AT7" s="94" t="str">
        <x:f t="shared" si="3"/>
        <x:v>M</x:v>
      </x:c>
      <x:c r="AU7" s="95" t="str">
        <x:f t="shared" si="3"/>
        <x:v>T</x:v>
      </x:c>
      <x:c r="AV7" s="95" t="str">
        <x:f t="shared" si="3"/>
        <x:v>W</x:v>
      </x:c>
      <x:c r="AW7" s="95" t="str">
        <x:f t="shared" si="3"/>
        <x:v>T</x:v>
      </x:c>
      <x:c r="AX7" s="95" t="str">
        <x:f t="shared" si="3"/>
        <x:v>F</x:v>
      </x:c>
      <x:c r="AY7" s="95" t="str">
        <x:f t="shared" si="3"/>
        <x:v>S</x:v>
      </x:c>
      <x:c r="AZ7" s="96" t="str">
        <x:f t="shared" si="3"/>
        <x:v>S</x:v>
      </x:c>
      <x:c r="BA7" s="94" t="str">
        <x:f t="shared" si="3"/>
        <x:v>M</x:v>
      </x:c>
      <x:c r="BB7" s="95" t="str">
        <x:f t="shared" si="3"/>
        <x:v>T</x:v>
      </x:c>
      <x:c r="BC7" s="95" t="str">
        <x:f t="shared" si="3"/>
        <x:v>W</x:v>
      </x:c>
      <x:c r="BD7" s="95" t="str">
        <x:f t="shared" si="3"/>
        <x:v>T</x:v>
      </x:c>
      <x:c r="BE7" s="95" t="str">
        <x:f t="shared" si="3"/>
        <x:v>F</x:v>
      </x:c>
      <x:c r="BF7" s="95" t="str">
        <x:f t="shared" si="3"/>
        <x:v>S</x:v>
      </x:c>
      <x:c r="BG7" s="96" t="str">
        <x:f t="shared" si="3"/>
        <x:v>S</x:v>
      </x:c>
      <x:c r="BH7" s="94" t="str">
        <x:f t="shared" si="3"/>
        <x:v>M</x:v>
      </x:c>
      <x:c r="BI7" s="95" t="str">
        <x:f t="shared" si="3"/>
        <x:v>T</x:v>
      </x:c>
      <x:c r="BJ7" s="95" t="str">
        <x:f t="shared" si="3"/>
        <x:v>W</x:v>
      </x:c>
      <x:c r="BK7" s="95" t="str">
        <x:f t="shared" si="3"/>
        <x:v>T</x:v>
      </x:c>
      <x:c r="BL7" s="95" t="str">
        <x:f t="shared" si="3"/>
        <x:v>F</x:v>
      </x:c>
      <x:c r="BM7" s="95" t="str">
        <x:f t="shared" si="3"/>
        <x:v>S</x:v>
      </x:c>
      <x:c r="BN7" s="96" t="str">
        <x:f t="shared" si="3"/>
        <x:v>S</x:v>
      </x:c>
    </x:row>
    <x:row r="8" s="35" customFormat="1" ht="18">
      <x:c r="A8" s="63" t="str">
        <x:f>IF(ISERROR(VALUE(SUBSTITUTE(prevWBS,".",""))),"1",IF(ISERROR(FIND("`",SUBSTITUTE(prevWBS,".","`",1))),TEXT(VALUE(prevWBS)+1,"#"),TEXT(VALUE(LEFT(prevWBS,FIND("`",SUBSTITUTE(prevWBS,".","`",1))-1))+1,"#")))</x:f>
        <x:v>1</x:v>
      </x:c>
      <x:c r="B8" s="64" t="s">
        <x:v>15</x:v>
      </x:c>
      <x:c r="C8" s="65"/>
      <x:c r="D8" s="66"/>
      <x:c r="E8" s="67"/>
      <x:c r="F8" s="89" t="str">
        <x:f>IF(ISBLANK(E8)," - ",IF(G8=0,E8,E8+G8-1))</x:f>
        <x:v> - </x:v>
      </x:c>
      <x:c r="G8" s="68"/>
      <x:c r="H8" s="69"/>
      <x:c r="I8" s="70" t="str">
        <x:f t="shared" ref="I8:I37" si="4">IF(OR(F8=0,E8=0)," - ",NETWORKDAYS(E8,F8))</x:f>
        <x:v> - </x:v>
      </x:c>
      <x:c r="J8" s="73"/>
      <x:c r="K8" s="84"/>
      <x:c r="L8" s="84"/>
      <x:c r="M8" s="84"/>
      <x:c r="N8" s="84"/>
      <x:c r="O8" s="84"/>
      <x:c r="P8" s="84"/>
      <x:c r="Q8" s="84"/>
      <x:c r="R8" s="84"/>
      <x:c r="S8" s="84"/>
      <x:c r="T8" s="84"/>
      <x:c r="U8" s="84"/>
      <x:c r="V8" s="84"/>
      <x:c r="W8" s="84"/>
      <x:c r="X8" s="84"/>
      <x:c r="Y8" s="84"/>
      <x:c r="Z8" s="84"/>
      <x:c r="AA8" s="84"/>
      <x:c r="AB8" s="84"/>
      <x:c r="AC8" s="84"/>
      <x:c r="AD8" s="84"/>
      <x:c r="AE8" s="84"/>
      <x:c r="AF8" s="84"/>
      <x:c r="AG8" s="84"/>
      <x:c r="AH8" s="84"/>
      <x:c r="AI8" s="84"/>
      <x:c r="AJ8" s="84"/>
      <x:c r="AK8" s="84"/>
      <x:c r="AL8" s="84"/>
      <x:c r="AM8" s="84"/>
      <x:c r="AN8" s="84"/>
      <x:c r="AO8" s="84"/>
      <x:c r="AP8" s="84"/>
      <x:c r="AQ8" s="84"/>
      <x:c r="AR8" s="84"/>
      <x:c r="AS8" s="84"/>
      <x:c r="AT8" s="84"/>
      <x:c r="AU8" s="84"/>
      <x:c r="AV8" s="84"/>
      <x:c r="AW8" s="84"/>
      <x:c r="AX8" s="84"/>
      <x:c r="AY8" s="84"/>
      <x:c r="AZ8" s="84"/>
      <x:c r="BA8" s="84"/>
      <x:c r="BB8" s="84"/>
      <x:c r="BC8" s="84"/>
      <x:c r="BD8" s="84"/>
      <x:c r="BE8" s="84"/>
      <x:c r="BF8" s="84"/>
      <x:c r="BG8" s="84"/>
      <x:c r="BH8" s="84"/>
      <x:c r="BI8" s="84"/>
      <x:c r="BJ8" s="84"/>
      <x:c r="BK8" s="84"/>
      <x:c r="BL8" s="84"/>
      <x:c r="BM8" s="84"/>
      <x:c r="BN8" s="84"/>
    </x:row>
    <x:row r="9" s="41" customFormat="1" ht="18">
      <x:c r="A9" s="40" t="str">
        <x:f t="shared" ref="A9:A17"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1.1</x:v>
      </x:c>
      <x:c r="B9" s="98" t="s">
        <x:v>16</x:v>
      </x:c>
      <x:c r="C9" s="41" t="s">
        <x:v>17</x:v>
      </x:c>
      <x:c r="D9" s="99"/>
      <x:c r="E9" s="78">
        <x:v>43129</x:v>
      </x:c>
      <x:c r="F9" s="79">
        <x:f>IF(ISBLANK(E9)," - ",IF(G9=0,E9,E9+G9-1))</x:f>
        <x:v>43133</x:v>
      </x:c>
      <x:c r="G9" s="42">
        <x:v>5</x:v>
      </x:c>
      <x:c r="H9" s="43">
        <x:v>1</x:v>
      </x:c>
      <x:c r="I9" s="44">
        <x:f t="shared" si="4"/>
        <x:v>5</x:v>
      </x:c>
      <x:c r="J9" s="74"/>
      <x:c r="K9" s="40"/>
      <x:c r="L9" s="40"/>
      <x:c r="M9" s="40"/>
      <x:c r="N9" s="40"/>
      <x:c r="O9" s="40"/>
      <x:c r="P9" s="40"/>
      <x:c r="Q9" s="40"/>
      <x:c r="R9" s="40"/>
      <x:c r="S9" s="40"/>
      <x:c r="T9" s="40"/>
      <x:c r="U9" s="40"/>
      <x:c r="V9" s="40"/>
      <x:c r="W9" s="40"/>
      <x:c r="X9" s="40"/>
      <x:c r="Y9" s="40"/>
      <x:c r="Z9" s="40"/>
      <x:c r="AA9" s="40"/>
      <x:c r="AB9" s="40"/>
      <x:c r="AC9" s="40"/>
      <x:c r="AD9" s="40"/>
      <x:c r="AE9" s="40"/>
      <x:c r="AF9" s="40"/>
      <x:c r="AG9" s="40"/>
      <x:c r="AH9" s="40"/>
      <x:c r="AI9" s="40"/>
      <x:c r="AJ9" s="40"/>
      <x:c r="AK9" s="40"/>
      <x:c r="AL9" s="40"/>
      <x:c r="AM9" s="40"/>
      <x:c r="AN9" s="40"/>
      <x:c r="AO9" s="40"/>
      <x:c r="AP9" s="40"/>
      <x:c r="AQ9" s="40"/>
      <x:c r="AR9" s="40"/>
      <x:c r="AS9" s="40"/>
      <x:c r="AT9" s="40"/>
      <x:c r="AU9" s="40"/>
      <x:c r="AV9" s="40"/>
      <x:c r="AW9" s="40"/>
      <x:c r="AX9" s="40"/>
      <x:c r="AY9" s="40"/>
      <x:c r="AZ9" s="40"/>
      <x:c r="BA9" s="40"/>
      <x:c r="BB9" s="40"/>
      <x:c r="BC9" s="40"/>
      <x:c r="BD9" s="40"/>
      <x:c r="BE9" s="40"/>
      <x:c r="BF9" s="40"/>
      <x:c r="BG9" s="40"/>
      <x:c r="BH9" s="40"/>
      <x:c r="BI9" s="40"/>
      <x:c r="BJ9" s="40"/>
      <x:c r="BK9" s="40"/>
      <x:c r="BL9" s="40"/>
      <x:c r="BM9" s="40"/>
      <x:c r="BN9" s="40"/>
    </x:row>
    <x:row r="10" s="41" customFormat="1" ht="18">
      <x:c r="A10" s="40" t="str">
        <x:f t="shared" si="5"/>
        <x:v>1.2</x:v>
      </x:c>
      <x:c r="B10" s="98" t="s">
        <x:v>16</x:v>
      </x:c>
      <x:c r="D10" s="99"/>
      <x:c r="E10" s="78">
        <x:v>43134</x:v>
      </x:c>
      <x:c r="F10" s="79">
        <x:f t="shared" ref="F10:F35" si="6">IF(ISBLANK(E10)," - ",IF(G10=0,E10,E10+G10-1))</x:f>
        <x:v>43138</x:v>
      </x:c>
      <x:c r="G10" s="42">
        <x:v>5</x:v>
      </x:c>
      <x:c r="H10" s="43">
        <x:v>0.6</x:v>
      </x:c>
      <x:c r="I10" s="44">
        <x:f t="shared" si="4"/>
        <x:v>3</x:v>
      </x:c>
      <x:c r="J10" s="74"/>
      <x:c r="K10" s="40"/>
      <x:c r="L10" s="40"/>
      <x:c r="M10" s="40"/>
      <x:c r="N10" s="40"/>
      <x:c r="O10" s="40"/>
      <x:c r="P10" s="40"/>
      <x:c r="Q10" s="40"/>
      <x:c r="R10" s="40"/>
      <x:c r="S10" s="40"/>
      <x:c r="T10" s="40"/>
      <x:c r="U10" s="40"/>
      <x:c r="V10" s="40"/>
      <x:c r="W10" s="40"/>
      <x:c r="X10" s="40"/>
      <x:c r="Y10" s="40"/>
      <x:c r="Z10" s="40"/>
      <x:c r="AA10" s="40"/>
      <x:c r="AB10" s="40"/>
      <x:c r="AC10" s="40"/>
      <x:c r="AD10" s="40"/>
      <x:c r="AE10" s="40"/>
      <x:c r="AF10" s="40"/>
      <x:c r="AG10" s="40"/>
      <x:c r="AH10" s="40"/>
      <x:c r="AI10" s="40"/>
      <x:c r="AJ10" s="40"/>
      <x:c r="AK10" s="40"/>
      <x:c r="AL10" s="40"/>
      <x:c r="AM10" s="40"/>
      <x:c r="AN10" s="40"/>
      <x:c r="AO10" s="40"/>
      <x:c r="AP10" s="40"/>
      <x:c r="AQ10" s="40"/>
      <x:c r="AR10" s="40"/>
      <x:c r="AS10" s="40"/>
      <x:c r="AT10" s="40"/>
      <x:c r="AU10" s="40"/>
      <x:c r="AV10" s="40"/>
      <x:c r="AW10" s="40"/>
      <x:c r="AX10" s="40"/>
      <x:c r="AY10" s="40"/>
      <x:c r="AZ10" s="40"/>
      <x:c r="BA10" s="40"/>
      <x:c r="BB10" s="40"/>
      <x:c r="BC10" s="40"/>
      <x:c r="BD10" s="40"/>
      <x:c r="BE10" s="40"/>
      <x:c r="BF10" s="40"/>
      <x:c r="BG10" s="40"/>
      <x:c r="BH10" s="40"/>
      <x:c r="BI10" s="40"/>
      <x:c r="BJ10" s="40"/>
      <x:c r="BK10" s="40"/>
      <x:c r="BL10" s="40"/>
      <x:c r="BM10" s="40"/>
      <x:c r="BN10" s="40"/>
    </x:row>
    <x:row r="11" s="41" customFormat="1" ht="18">
      <x:c r="A11" s="40" t="str">
        <x:f t="shared" si="5"/>
        <x:v>1.3</x:v>
      </x:c>
      <x:c r="B11" s="98" t="s">
        <x:v>16</x:v>
      </x:c>
      <x:c r="D11" s="99"/>
      <x:c r="E11" s="78">
        <x:v>43139</x:v>
      </x:c>
      <x:c r="F11" s="79">
        <x:f t="shared" si="6"/>
        <x:v>43142</x:v>
      </x:c>
      <x:c r="G11" s="42">
        <x:v>4</x:v>
      </x:c>
      <x:c r="H11" s="43">
        <x:v>0</x:v>
      </x:c>
      <x:c r="I11" s="44">
        <x:f t="shared" si="4"/>
        <x:v>2</x:v>
      </x:c>
      <x:c r="J11" s="74"/>
      <x:c r="K11" s="40"/>
      <x:c r="L11" s="40"/>
      <x:c r="M11" s="85"/>
      <x:c r="N11" s="40"/>
      <x:c r="O11" s="40"/>
      <x:c r="P11" s="40"/>
      <x:c r="Q11" s="40"/>
      <x:c r="R11" s="40"/>
      <x:c r="S11" s="40"/>
      <x:c r="T11" s="40"/>
      <x:c r="U11" s="40"/>
      <x:c r="V11" s="40"/>
      <x:c r="W11" s="40"/>
      <x:c r="X11" s="40"/>
      <x:c r="Y11" s="40"/>
      <x:c r="Z11" s="40"/>
      <x:c r="AA11" s="40"/>
      <x:c r="AB11" s="40"/>
      <x:c r="AC11" s="40"/>
      <x:c r="AD11" s="40"/>
      <x:c r="AE11" s="40"/>
      <x:c r="AF11" s="40"/>
      <x:c r="AG11" s="40"/>
      <x:c r="AH11" s="40"/>
      <x:c r="AI11" s="40"/>
      <x:c r="AJ11" s="40"/>
      <x:c r="AK11" s="40"/>
      <x:c r="AL11" s="40"/>
      <x:c r="AM11" s="40"/>
      <x:c r="AN11" s="40"/>
      <x:c r="AO11" s="40"/>
      <x:c r="AP11" s="40"/>
      <x:c r="AQ11" s="40"/>
      <x:c r="AR11" s="40"/>
      <x:c r="AS11" s="40"/>
      <x:c r="AT11" s="40"/>
      <x:c r="AU11" s="40"/>
      <x:c r="AV11" s="40"/>
      <x:c r="AW11" s="40"/>
      <x:c r="AX11" s="40"/>
      <x:c r="AY11" s="40"/>
      <x:c r="AZ11" s="40"/>
      <x:c r="BA11" s="40"/>
      <x:c r="BB11" s="40"/>
      <x:c r="BC11" s="40"/>
      <x:c r="BD11" s="40"/>
      <x:c r="BE11" s="40"/>
      <x:c r="BF11" s="40"/>
      <x:c r="BG11" s="40"/>
      <x:c r="BH11" s="40"/>
      <x:c r="BI11" s="40"/>
      <x:c r="BJ11" s="40"/>
      <x:c r="BK11" s="40"/>
      <x:c r="BL11" s="40"/>
      <x:c r="BM11" s="40"/>
      <x:c r="BN11" s="40"/>
    </x:row>
    <x:row r="12" s="41" customFormat="1" ht="18">
      <x:c r="A12" s="40" t="str">
        <x:f t="shared" si="5"/>
        <x:v>1.4</x:v>
      </x:c>
      <x:c r="B12" s="98" t="s">
        <x:v>16</x:v>
      </x:c>
      <x:c r="D12" s="99"/>
      <x:c r="E12" s="78">
        <x:v>43132</x:v>
      </x:c>
      <x:c r="F12" s="79">
        <x:f t="shared" si="6"/>
        <x:v>43135</x:v>
      </x:c>
      <x:c r="G12" s="42">
        <x:v>4</x:v>
      </x:c>
      <x:c r="H12" s="43">
        <x:v>0.75</x:v>
      </x:c>
      <x:c r="I12" s="44">
        <x:f t="shared" si="4"/>
        <x:v>2</x:v>
      </x:c>
      <x:c r="J12" s="74"/>
      <x:c r="K12" s="40"/>
      <x:c r="L12" s="40"/>
      <x:c r="M12" s="40"/>
      <x:c r="N12" s="40"/>
      <x:c r="O12" s="40"/>
      <x:c r="P12" s="40"/>
      <x:c r="Q12" s="40"/>
      <x:c r="R12" s="40"/>
      <x:c r="S12" s="40"/>
      <x:c r="T12" s="40"/>
      <x:c r="U12" s="40"/>
      <x:c r="V12" s="40"/>
      <x:c r="W12" s="40"/>
      <x:c r="X12" s="40"/>
      <x:c r="Y12" s="40"/>
      <x:c r="Z12" s="40"/>
      <x:c r="AA12" s="40"/>
      <x:c r="AB12" s="40"/>
      <x:c r="AC12" s="40"/>
      <x:c r="AD12" s="40"/>
      <x:c r="AE12" s="40"/>
      <x:c r="AF12" s="40"/>
      <x:c r="AG12" s="40"/>
      <x:c r="AH12" s="40"/>
      <x:c r="AI12" s="40"/>
      <x:c r="AJ12" s="40"/>
      <x:c r="AK12" s="40"/>
      <x:c r="AL12" s="40"/>
      <x:c r="AM12" s="40"/>
      <x:c r="AN12" s="40"/>
      <x:c r="AO12" s="40"/>
      <x:c r="AP12" s="40"/>
      <x:c r="AQ12" s="40"/>
      <x:c r="AR12" s="40"/>
      <x:c r="AS12" s="40"/>
      <x:c r="AT12" s="40"/>
      <x:c r="AU12" s="40"/>
      <x:c r="AV12" s="40"/>
      <x:c r="AW12" s="40"/>
      <x:c r="AX12" s="40"/>
      <x:c r="AY12" s="40"/>
      <x:c r="AZ12" s="40"/>
      <x:c r="BA12" s="40"/>
      <x:c r="BB12" s="40"/>
      <x:c r="BC12" s="40"/>
      <x:c r="BD12" s="40"/>
      <x:c r="BE12" s="40"/>
      <x:c r="BF12" s="40"/>
      <x:c r="BG12" s="40"/>
      <x:c r="BH12" s="40"/>
      <x:c r="BI12" s="40"/>
      <x:c r="BJ12" s="40"/>
      <x:c r="BK12" s="40"/>
      <x:c r="BL12" s="40"/>
      <x:c r="BM12" s="40"/>
      <x:c r="BN12" s="40"/>
    </x:row>
    <x:row r="13" s="41" customFormat="1" ht="18">
      <x:c r="A13" s="40" t="str">
        <x:f>IF(ISERROR(VALUE(SUBSTITUTE(prevWBS,".",""))),"0.0.1",IF(ISERROR(FIND("`",SUBSTITUTE(prevWBS,".","`",2))),prevWBS&amp;".1",LEFT(prevWBS,FIND("`",SUBSTITUTE(prevWBS,".","`",2)))&amp;IF(ISERROR(FIND("`",SUBSTITUTE(prevWBS,".","`",3))),VALUE(RIGHT(prevWBS,LEN(prevWBS)-FIND("`",SUBSTITUTE(prevWBS,".","`",2))))+1,VALUE(MID(prevWBS,FIND("`",SUBSTITUTE(prevWBS,".","`",2))+1,(FIND("`",SUBSTITUTE(prevWBS,".","`",3))-FIND("`",SUBSTITUTE(prevWBS,".","`",2))-1)))+1)))</x:f>
        <x:v>1.4.1</x:v>
      </x:c>
      <x:c r="B13" s="100" t="s">
        <x:v>18</x:v>
      </x:c>
      <x:c r="D13" s="99"/>
      <x:c r="E13" s="78">
        <x:v>43133</x:v>
      </x:c>
      <x:c r="F13" s="79">
        <x:f t="shared" si="6"/>
        <x:v>43134</x:v>
      </x:c>
      <x:c r="G13" s="42">
        <x:v>2</x:v>
      </x:c>
      <x:c r="H13" s="43">
        <x:v>0.5</x:v>
      </x:c>
      <x:c r="I13" s="44">
        <x:f t="shared" si="4"/>
        <x:v>1</x:v>
      </x:c>
      <x:c r="J13" s="74"/>
      <x:c r="K13" s="40"/>
      <x:c r="L13" s="40"/>
      <x:c r="M13" s="40"/>
      <x:c r="N13" s="40"/>
      <x:c r="O13" s="40"/>
      <x:c r="P13" s="40"/>
      <x:c r="Q13" s="40"/>
      <x:c r="R13" s="40"/>
      <x:c r="S13" s="40"/>
      <x:c r="T13" s="40"/>
      <x:c r="U13" s="40"/>
      <x:c r="V13" s="40"/>
      <x:c r="W13" s="40"/>
      <x:c r="X13" s="40"/>
      <x:c r="Y13" s="40"/>
      <x:c r="Z13" s="40"/>
      <x:c r="AA13" s="40"/>
      <x:c r="AB13" s="40"/>
      <x:c r="AC13" s="40"/>
      <x:c r="AD13" s="40"/>
      <x:c r="AE13" s="40"/>
      <x:c r="AF13" s="40"/>
      <x:c r="AG13" s="40"/>
      <x:c r="AH13" s="40"/>
      <x:c r="AI13" s="40"/>
      <x:c r="AJ13" s="40"/>
      <x:c r="AK13" s="40"/>
      <x:c r="AL13" s="40"/>
      <x:c r="AM13" s="40"/>
      <x:c r="AN13" s="40"/>
      <x:c r="AO13" s="40"/>
      <x:c r="AP13" s="40"/>
      <x:c r="AQ13" s="40"/>
      <x:c r="AR13" s="40"/>
      <x:c r="AS13" s="40"/>
      <x:c r="AT13" s="40"/>
      <x:c r="AU13" s="40"/>
      <x:c r="AV13" s="40"/>
      <x:c r="AW13" s="40"/>
      <x:c r="AX13" s="40"/>
      <x:c r="AY13" s="40"/>
      <x:c r="AZ13" s="40"/>
      <x:c r="BA13" s="40"/>
      <x:c r="BB13" s="40"/>
      <x:c r="BC13" s="40"/>
      <x:c r="BD13" s="40"/>
      <x:c r="BE13" s="40"/>
      <x:c r="BF13" s="40"/>
      <x:c r="BG13" s="40"/>
      <x:c r="BH13" s="40"/>
      <x:c r="BI13" s="40"/>
      <x:c r="BJ13" s="40"/>
      <x:c r="BK13" s="40"/>
      <x:c r="BL13" s="40"/>
      <x:c r="BM13" s="40"/>
      <x:c r="BN13" s="40"/>
    </x:row>
    <x:row r="14" s="41" customFormat="1" ht="18">
      <x:c r="A14" s="40" t="str">
        <x:f>IF(ISERROR(VALUE(SUBSTITUTE(prevWBS,".",""))),"0.0.1",IF(ISERROR(FIND("`",SUBSTITUTE(prevWBS,".","`",2))),prevWBS&amp;".1",LEFT(prevWBS,FIND("`",SUBSTITUTE(prevWBS,".","`",2)))&amp;IF(ISERROR(FIND("`",SUBSTITUTE(prevWBS,".","`",3))),VALUE(RIGHT(prevWBS,LEN(prevWBS)-FIND("`",SUBSTITUTE(prevWBS,".","`",2))))+1,VALUE(MID(prevWBS,FIND("`",SUBSTITUTE(prevWBS,".","`",2))+1,(FIND("`",SUBSTITUTE(prevWBS,".","`",3))-FIND("`",SUBSTITUTE(prevWBS,".","`",2))-1)))+1)))</x:f>
        <x:v>1.4.2</x:v>
      </x:c>
      <x:c r="B14" s="100" t="s">
        <x:v>18</x:v>
      </x:c>
      <x:c r="D14" s="99"/>
      <x:c r="E14" s="78">
        <x:v>43135</x:v>
      </x:c>
      <x:c r="F14" s="79">
        <x:f t="shared" si="6"/>
        <x:v>43137</x:v>
      </x:c>
      <x:c r="G14" s="42">
        <x:v>3</x:v>
      </x:c>
      <x:c r="H14" s="43">
        <x:v>0.5</x:v>
      </x:c>
      <x:c r="I14" s="44">
        <x:f t="shared" si="4"/>
        <x:v>2</x:v>
      </x:c>
      <x:c r="J14" s="74"/>
      <x:c r="K14" s="40"/>
      <x:c r="L14" s="40"/>
      <x:c r="M14" s="40"/>
      <x:c r="N14" s="40"/>
      <x:c r="O14" s="40"/>
      <x:c r="P14" s="40"/>
      <x:c r="Q14" s="40"/>
      <x:c r="R14" s="40"/>
      <x:c r="S14" s="40"/>
      <x:c r="T14" s="40"/>
      <x:c r="U14" s="40"/>
      <x:c r="V14" s="40"/>
      <x:c r="W14" s="40"/>
      <x:c r="X14" s="40"/>
      <x:c r="Y14" s="40"/>
      <x:c r="Z14" s="40"/>
      <x:c r="AA14" s="40"/>
      <x:c r="AB14" s="40"/>
      <x:c r="AC14" s="40"/>
      <x:c r="AD14" s="40"/>
      <x:c r="AE14" s="40"/>
      <x:c r="AF14" s="40"/>
      <x:c r="AG14" s="40"/>
      <x:c r="AH14" s="40"/>
      <x:c r="AI14" s="40"/>
      <x:c r="AJ14" s="40"/>
      <x:c r="AK14" s="40"/>
      <x:c r="AL14" s="40"/>
      <x:c r="AM14" s="40"/>
      <x:c r="AN14" s="40"/>
      <x:c r="AO14" s="40"/>
      <x:c r="AP14" s="40"/>
      <x:c r="AQ14" s="40"/>
      <x:c r="AR14" s="40"/>
      <x:c r="AS14" s="40"/>
      <x:c r="AT14" s="40"/>
      <x:c r="AU14" s="40"/>
      <x:c r="AV14" s="40"/>
      <x:c r="AW14" s="40"/>
      <x:c r="AX14" s="40"/>
      <x:c r="AY14" s="40"/>
      <x:c r="AZ14" s="40"/>
      <x:c r="BA14" s="40"/>
      <x:c r="BB14" s="40"/>
      <x:c r="BC14" s="40"/>
      <x:c r="BD14" s="40"/>
      <x:c r="BE14" s="40"/>
      <x:c r="BF14" s="40"/>
      <x:c r="BG14" s="40"/>
      <x:c r="BH14" s="40"/>
      <x:c r="BI14" s="40"/>
      <x:c r="BJ14" s="40"/>
      <x:c r="BK14" s="40"/>
      <x:c r="BL14" s="40"/>
      <x:c r="BM14" s="40"/>
      <x:c r="BN14" s="40"/>
    </x:row>
    <x:row r="15" s="41" customFormat="1" ht="18">
      <x:c r="A15" s="40" t="str">
        <x:f t="shared" si="5"/>
        <x:v>1.5</x:v>
      </x:c>
      <x:c r="B15" s="98" t="s">
        <x:v>16</x:v>
      </x:c>
      <x:c r="D15" s="99"/>
      <x:c r="E15" s="78">
        <x:v>43136</x:v>
      </x:c>
      <x:c r="F15" s="79">
        <x:f t="shared" si="6"/>
        <x:v>43140</x:v>
      </x:c>
      <x:c r="G15" s="42">
        <x:v>5</x:v>
      </x:c>
      <x:c r="H15" s="43">
        <x:v>0</x:v>
      </x:c>
      <x:c r="I15" s="44">
        <x:f t="shared" si="4"/>
        <x:v>5</x:v>
      </x:c>
      <x:c r="J15" s="74"/>
      <x:c r="K15" s="40"/>
      <x:c r="L15" s="40"/>
      <x:c r="M15" s="40"/>
      <x:c r="N15" s="40"/>
      <x:c r="O15" s="40"/>
      <x:c r="P15" s="40"/>
      <x:c r="Q15" s="40"/>
      <x:c r="R15" s="40"/>
      <x:c r="S15" s="40"/>
      <x:c r="T15" s="40"/>
      <x:c r="U15" s="40"/>
      <x:c r="V15" s="40"/>
      <x:c r="W15" s="40"/>
      <x:c r="X15" s="40"/>
      <x:c r="Y15" s="40"/>
      <x:c r="Z15" s="40"/>
      <x:c r="AA15" s="40"/>
      <x:c r="AB15" s="40"/>
      <x:c r="AC15" s="40"/>
      <x:c r="AD15" s="40"/>
      <x:c r="AE15" s="40"/>
      <x:c r="AF15" s="40"/>
      <x:c r="AG15" s="40"/>
      <x:c r="AH15" s="40"/>
      <x:c r="AI15" s="40"/>
      <x:c r="AJ15" s="40"/>
      <x:c r="AK15" s="40"/>
      <x:c r="AL15" s="40"/>
      <x:c r="AM15" s="40"/>
      <x:c r="AN15" s="40"/>
      <x:c r="AO15" s="40"/>
      <x:c r="AP15" s="40"/>
      <x:c r="AQ15" s="40"/>
      <x:c r="AR15" s="40"/>
      <x:c r="AS15" s="40"/>
      <x:c r="AT15" s="40"/>
      <x:c r="AU15" s="40"/>
      <x:c r="AV15" s="40"/>
      <x:c r="AW15" s="40"/>
      <x:c r="AX15" s="40"/>
      <x:c r="AY15" s="40"/>
      <x:c r="AZ15" s="40"/>
      <x:c r="BA15" s="40"/>
      <x:c r="BB15" s="40"/>
      <x:c r="BC15" s="40"/>
      <x:c r="BD15" s="40"/>
      <x:c r="BE15" s="40"/>
      <x:c r="BF15" s="40"/>
      <x:c r="BG15" s="40"/>
      <x:c r="BH15" s="40"/>
      <x:c r="BI15" s="40"/>
      <x:c r="BJ15" s="40"/>
      <x:c r="BK15" s="40"/>
      <x:c r="BL15" s="40"/>
      <x:c r="BM15" s="40"/>
      <x:c r="BN15" s="40"/>
    </x:row>
    <x:row r="16" s="41" customFormat="1" ht="18">
      <x:c r="A16" s="40" t="str">
        <x:f t="shared" si="5"/>
        <x:v>1.6</x:v>
      </x:c>
      <x:c r="B16" s="98" t="s">
        <x:v>16</x:v>
      </x:c>
      <x:c r="D16" s="99"/>
      <x:c r="E16" s="78">
        <x:v>43134</x:v>
      </x:c>
      <x:c r="F16" s="79">
        <x:f t="shared" si="6"/>
        <x:v>43140</x:v>
      </x:c>
      <x:c r="G16" s="42">
        <x:v>7</x:v>
      </x:c>
      <x:c r="H16" s="43">
        <x:v>0</x:v>
      </x:c>
      <x:c r="I16" s="44">
        <x:f t="shared" si="4"/>
        <x:v>5</x:v>
      </x:c>
      <x:c r="J16" s="74"/>
      <x:c r="K16" s="40"/>
      <x:c r="L16" s="40"/>
      <x:c r="M16" s="40"/>
      <x:c r="N16" s="40"/>
      <x:c r="O16" s="40"/>
      <x:c r="P16" s="40"/>
      <x:c r="Q16" s="40"/>
      <x:c r="R16" s="40"/>
      <x:c r="S16" s="40"/>
      <x:c r="T16" s="40"/>
      <x:c r="U16" s="40"/>
      <x:c r="V16" s="40"/>
      <x:c r="W16" s="40"/>
      <x:c r="X16" s="40"/>
      <x:c r="Y16" s="40"/>
      <x:c r="Z16" s="40"/>
      <x:c r="AA16" s="40"/>
      <x:c r="AB16" s="40"/>
      <x:c r="AC16" s="40"/>
      <x:c r="AD16" s="40"/>
      <x:c r="AE16" s="40"/>
      <x:c r="AF16" s="40"/>
      <x:c r="AG16" s="40"/>
      <x:c r="AH16" s="40"/>
      <x:c r="AI16" s="40"/>
      <x:c r="AJ16" s="40"/>
      <x:c r="AK16" s="40"/>
      <x:c r="AL16" s="40"/>
      <x:c r="AM16" s="40"/>
      <x:c r="AN16" s="40"/>
      <x:c r="AO16" s="40"/>
      <x:c r="AP16" s="40"/>
      <x:c r="AQ16" s="40"/>
      <x:c r="AR16" s="40"/>
      <x:c r="AS16" s="40"/>
      <x:c r="AT16" s="40"/>
      <x:c r="AU16" s="40"/>
      <x:c r="AV16" s="40"/>
      <x:c r="AW16" s="40"/>
      <x:c r="AX16" s="40"/>
      <x:c r="AY16" s="40"/>
      <x:c r="AZ16" s="40"/>
      <x:c r="BA16" s="40"/>
      <x:c r="BB16" s="40"/>
      <x:c r="BC16" s="40"/>
      <x:c r="BD16" s="40"/>
      <x:c r="BE16" s="40"/>
      <x:c r="BF16" s="40"/>
      <x:c r="BG16" s="40"/>
      <x:c r="BH16" s="40"/>
      <x:c r="BI16" s="40"/>
      <x:c r="BJ16" s="40"/>
      <x:c r="BK16" s="40"/>
      <x:c r="BL16" s="40"/>
      <x:c r="BM16" s="40"/>
      <x:c r="BN16" s="40"/>
    </x:row>
    <x:row r="17" s="41" customFormat="1" ht="18">
      <x:c r="A17" s="40" t="str">
        <x:f t="shared" si="5"/>
        <x:v>1.7</x:v>
      </x:c>
      <x:c r="B17" s="98" t="s">
        <x:v>16</x:v>
      </x:c>
      <x:c r="D17" s="99"/>
      <x:c r="E17" s="78">
        <x:v>43141</x:v>
      </x:c>
      <x:c r="F17" s="79">
        <x:f t="shared" si="6"/>
        <x:v>43147</x:v>
      </x:c>
      <x:c r="G17" s="42">
        <x:v>7</x:v>
      </x:c>
      <x:c r="H17" s="43">
        <x:v>0</x:v>
      </x:c>
      <x:c r="I17" s="44">
        <x:f t="shared" si="4"/>
        <x:v>5</x:v>
      </x:c>
      <x:c r="J17" s="74"/>
      <x:c r="K17" s="40"/>
      <x:c r="L17" s="40"/>
      <x:c r="M17" s="40"/>
      <x:c r="N17" s="40"/>
      <x:c r="O17" s="40"/>
      <x:c r="P17" s="40"/>
      <x:c r="Q17" s="40"/>
      <x:c r="R17" s="40"/>
      <x:c r="S17" s="40"/>
      <x:c r="T17" s="40"/>
      <x:c r="U17" s="40"/>
      <x:c r="V17" s="40"/>
      <x:c r="W17" s="40"/>
      <x:c r="X17" s="40"/>
      <x:c r="Y17" s="40"/>
      <x:c r="Z17" s="40"/>
      <x:c r="AA17" s="40"/>
      <x:c r="AB17" s="40"/>
      <x:c r="AC17" s="40"/>
      <x:c r="AD17" s="40"/>
      <x:c r="AE17" s="40"/>
      <x:c r="AF17" s="40"/>
      <x:c r="AG17" s="40"/>
      <x:c r="AH17" s="40"/>
      <x:c r="AI17" s="40"/>
      <x:c r="AJ17" s="40"/>
      <x:c r="AK17" s="40"/>
      <x:c r="AL17" s="40"/>
      <x:c r="AM17" s="40"/>
      <x:c r="AN17" s="40"/>
      <x:c r="AO17" s="40"/>
      <x:c r="AP17" s="40"/>
      <x:c r="AQ17" s="40"/>
      <x:c r="AR17" s="40"/>
      <x:c r="AS17" s="40"/>
      <x:c r="AT17" s="40"/>
      <x:c r="AU17" s="40"/>
      <x:c r="AV17" s="40"/>
      <x:c r="AW17" s="40"/>
      <x:c r="AX17" s="40"/>
      <x:c r="AY17" s="40"/>
      <x:c r="AZ17" s="40"/>
      <x:c r="BA17" s="40"/>
      <x:c r="BB17" s="40"/>
      <x:c r="BC17" s="40"/>
      <x:c r="BD17" s="40"/>
      <x:c r="BE17" s="40"/>
      <x:c r="BF17" s="40"/>
      <x:c r="BG17" s="40"/>
      <x:c r="BH17" s="40"/>
      <x:c r="BI17" s="40"/>
      <x:c r="BJ17" s="40"/>
      <x:c r="BK17" s="40"/>
      <x:c r="BL17" s="40"/>
      <x:c r="BM17" s="40"/>
      <x:c r="BN17" s="40"/>
    </x:row>
    <x:row r="18" s="35" customFormat="1" ht="18">
      <x:c r="A18" s="33" t="str">
        <x:f>IF(ISERROR(VALUE(SUBSTITUTE(prevWBS,".",""))),"1",IF(ISERROR(FIND("`",SUBSTITUTE(prevWBS,".","`",1))),TEXT(VALUE(prevWBS)+1,"#"),TEXT(VALUE(LEFT(prevWBS,FIND("`",SUBSTITUTE(prevWBS,".","`",1))-1))+1,"#")))</x:f>
        <x:v>2</x:v>
      </x:c>
      <x:c r="B18" s="34" t="s">
        <x:v>15</x:v>
      </x:c>
      <x:c r="D18" s="36"/>
      <x:c r="E18" s="80"/>
      <x:c r="F18" s="80" t="str">
        <x:f t="shared" si="6"/>
        <x:v> - </x:v>
      </x:c>
      <x:c r="G18" s="37"/>
      <x:c r="H18" s="38"/>
      <x:c r="I18" s="39" t="str">
        <x:f t="shared" si="4"/>
        <x:v> - </x:v>
      </x:c>
      <x:c r="J18" s="75"/>
      <x:c r="K18" s="86"/>
      <x:c r="L18" s="86"/>
      <x:c r="M18" s="86"/>
      <x:c r="N18" s="86"/>
      <x:c r="O18" s="86"/>
      <x:c r="P18" s="86"/>
      <x:c r="Q18" s="86"/>
      <x:c r="R18" s="86"/>
      <x:c r="S18" s="86"/>
      <x:c r="T18" s="86"/>
      <x:c r="U18" s="86"/>
      <x:c r="V18" s="86"/>
      <x:c r="W18" s="86"/>
      <x:c r="X18" s="86"/>
      <x:c r="Y18" s="86"/>
      <x:c r="Z18" s="86"/>
      <x:c r="AA18" s="86"/>
      <x:c r="AB18" s="86"/>
      <x:c r="AC18" s="86"/>
      <x:c r="AD18" s="86"/>
      <x:c r="AE18" s="86"/>
      <x:c r="AF18" s="86"/>
      <x:c r="AG18" s="86"/>
      <x:c r="AH18" s="86"/>
      <x:c r="AI18" s="86"/>
      <x:c r="AJ18" s="86"/>
      <x:c r="AK18" s="86"/>
      <x:c r="AL18" s="86"/>
      <x:c r="AM18" s="86"/>
      <x:c r="AN18" s="86"/>
      <x:c r="AO18" s="86"/>
      <x:c r="AP18" s="86"/>
      <x:c r="AQ18" s="86"/>
      <x:c r="AR18" s="86"/>
      <x:c r="AS18" s="86"/>
      <x:c r="AT18" s="86"/>
      <x:c r="AU18" s="86"/>
      <x:c r="AV18" s="86"/>
      <x:c r="AW18" s="86"/>
      <x:c r="AX18" s="86"/>
      <x:c r="AY18" s="86"/>
      <x:c r="AZ18" s="86"/>
      <x:c r="BA18" s="86"/>
      <x:c r="BB18" s="86"/>
      <x:c r="BC18" s="86"/>
      <x:c r="BD18" s="86"/>
      <x:c r="BE18" s="86"/>
      <x:c r="BF18" s="86"/>
      <x:c r="BG18" s="86"/>
      <x:c r="BH18" s="86"/>
      <x:c r="BI18" s="86"/>
      <x:c r="BJ18" s="86"/>
      <x:c r="BK18" s="86"/>
      <x:c r="BL18" s="86"/>
      <x:c r="BM18" s="86"/>
      <x:c r="BN18" s="86"/>
    </x:row>
    <x:row r="19" s="41" customFormat="1" ht="18">
      <x:c r="A19"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2.1</x:v>
      </x:c>
      <x:c r="B19" s="98" t="s">
        <x:v>16</x:v>
      </x:c>
      <x:c r="D19" s="99"/>
      <x:c r="E19" s="78">
        <x:v>43141</x:v>
      </x:c>
      <x:c r="F19" s="79">
        <x:f t="shared" si="6"/>
        <x:v>43144</x:v>
      </x:c>
      <x:c r="G19" s="42">
        <x:v>4</x:v>
      </x:c>
      <x:c r="H19" s="43">
        <x:v>0</x:v>
      </x:c>
      <x:c r="I19" s="44">
        <x:f t="shared" si="4"/>
        <x:v>2</x:v>
      </x:c>
      <x:c r="J19" s="74"/>
      <x:c r="K19" s="40"/>
      <x:c r="L19" s="40"/>
      <x:c r="M19" s="40"/>
      <x:c r="N19" s="40"/>
      <x:c r="O19" s="40"/>
      <x:c r="P19" s="40"/>
      <x:c r="Q19" s="40"/>
      <x:c r="R19" s="40"/>
      <x:c r="S19" s="40"/>
      <x:c r="T19" s="40"/>
      <x:c r="U19" s="40"/>
      <x:c r="V19" s="40"/>
      <x:c r="W19" s="40"/>
      <x:c r="X19" s="40"/>
      <x:c r="Y19" s="40"/>
      <x:c r="Z19" s="40"/>
      <x:c r="AA19" s="40"/>
      <x:c r="AB19" s="40"/>
      <x:c r="AC19" s="40"/>
      <x:c r="AD19" s="40"/>
      <x:c r="AE19" s="40"/>
      <x:c r="AF19" s="40"/>
      <x:c r="AG19" s="40"/>
      <x:c r="AH19" s="40"/>
      <x:c r="AI19" s="40"/>
      <x:c r="AJ19" s="40"/>
      <x:c r="AK19" s="40"/>
      <x:c r="AL19" s="40"/>
      <x:c r="AM19" s="40"/>
      <x:c r="AN19" s="40"/>
      <x:c r="AO19" s="40"/>
      <x:c r="AP19" s="40"/>
      <x:c r="AQ19" s="40"/>
      <x:c r="AR19" s="40"/>
      <x:c r="AS19" s="40"/>
      <x:c r="AT19" s="40"/>
      <x:c r="AU19" s="40"/>
      <x:c r="AV19" s="40"/>
      <x:c r="AW19" s="40"/>
      <x:c r="AX19" s="40"/>
      <x:c r="AY19" s="40"/>
      <x:c r="AZ19" s="40"/>
      <x:c r="BA19" s="40"/>
      <x:c r="BB19" s="40"/>
      <x:c r="BC19" s="40"/>
      <x:c r="BD19" s="40"/>
      <x:c r="BE19" s="40"/>
      <x:c r="BF19" s="40"/>
      <x:c r="BG19" s="40"/>
      <x:c r="BH19" s="40"/>
      <x:c r="BI19" s="40"/>
      <x:c r="BJ19" s="40"/>
      <x:c r="BK19" s="40"/>
      <x:c r="BL19" s="40"/>
      <x:c r="BM19" s="40"/>
      <x:c r="BN19" s="40"/>
    </x:row>
    <x:row r="20" s="41" customFormat="1" ht="18">
      <x:c r="A20"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2.2</x:v>
      </x:c>
      <x:c r="B20" s="98" t="s">
        <x:v>16</x:v>
      </x:c>
      <x:c r="D20" s="99"/>
      <x:c r="E20" s="78">
        <x:v>43145</x:v>
      </x:c>
      <x:c r="F20" s="79">
        <x:f t="shared" si="6"/>
        <x:v>43147</x:v>
      </x:c>
      <x:c r="G20" s="42">
        <x:v>3</x:v>
      </x:c>
      <x:c r="H20" s="43">
        <x:v>0</x:v>
      </x:c>
      <x:c r="I20" s="44">
        <x:f t="shared" si="4"/>
        <x:v>3</x:v>
      </x:c>
      <x:c r="J20" s="74"/>
      <x:c r="K20" s="40"/>
      <x:c r="L20" s="40"/>
      <x:c r="M20" s="40"/>
      <x:c r="N20" s="40"/>
      <x:c r="O20" s="40"/>
      <x:c r="P20" s="40"/>
      <x:c r="Q20" s="40"/>
      <x:c r="R20" s="40"/>
      <x:c r="S20" s="40"/>
      <x:c r="T20" s="40"/>
      <x:c r="U20" s="40"/>
      <x:c r="V20" s="40"/>
      <x:c r="W20" s="40"/>
      <x:c r="X20" s="40"/>
      <x:c r="Y20" s="40"/>
      <x:c r="Z20" s="40"/>
      <x:c r="AA20" s="40"/>
      <x:c r="AB20" s="40"/>
      <x:c r="AC20" s="40"/>
      <x:c r="AD20" s="40"/>
      <x:c r="AE20" s="40"/>
      <x:c r="AF20" s="40"/>
      <x:c r="AG20" s="40"/>
      <x:c r="AH20" s="40"/>
      <x:c r="AI20" s="40"/>
      <x:c r="AJ20" s="40"/>
      <x:c r="AK20" s="40"/>
      <x:c r="AL20" s="40"/>
      <x:c r="AM20" s="40"/>
      <x:c r="AN20" s="40"/>
      <x:c r="AO20" s="40"/>
      <x:c r="AP20" s="40"/>
      <x:c r="AQ20" s="40"/>
      <x:c r="AR20" s="40"/>
      <x:c r="AS20" s="40"/>
      <x:c r="AT20" s="40"/>
      <x:c r="AU20" s="40"/>
      <x:c r="AV20" s="40"/>
      <x:c r="AW20" s="40"/>
      <x:c r="AX20" s="40"/>
      <x:c r="AY20" s="40"/>
      <x:c r="AZ20" s="40"/>
      <x:c r="BA20" s="40"/>
      <x:c r="BB20" s="40"/>
      <x:c r="BC20" s="40"/>
      <x:c r="BD20" s="40"/>
      <x:c r="BE20" s="40"/>
      <x:c r="BF20" s="40"/>
      <x:c r="BG20" s="40"/>
      <x:c r="BH20" s="40"/>
      <x:c r="BI20" s="40"/>
      <x:c r="BJ20" s="40"/>
      <x:c r="BK20" s="40"/>
      <x:c r="BL20" s="40"/>
      <x:c r="BM20" s="40"/>
      <x:c r="BN20" s="40"/>
    </x:row>
    <x:row r="21" s="41" customFormat="1" ht="18">
      <x:c r="A21"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2.3</x:v>
      </x:c>
      <x:c r="B21" s="98" t="s">
        <x:v>16</x:v>
      </x:c>
      <x:c r="D21" s="99"/>
      <x:c r="E21" s="78">
        <x:v>43145</x:v>
      </x:c>
      <x:c r="F21" s="79">
        <x:f t="shared" si="6"/>
        <x:v>43147</x:v>
      </x:c>
      <x:c r="G21" s="42">
        <x:v>3</x:v>
      </x:c>
      <x:c r="H21" s="43">
        <x:v>0</x:v>
      </x:c>
      <x:c r="I21" s="44">
        <x:f t="shared" si="4"/>
        <x:v>3</x:v>
      </x:c>
      <x:c r="J21" s="74"/>
      <x:c r="K21" s="40"/>
      <x:c r="L21" s="40"/>
      <x:c r="M21" s="40"/>
      <x:c r="N21" s="40"/>
      <x:c r="O21" s="40"/>
      <x:c r="P21" s="40"/>
      <x:c r="Q21" s="40"/>
      <x:c r="R21" s="40"/>
      <x:c r="S21" s="40"/>
      <x:c r="T21" s="40"/>
      <x:c r="U21" s="40"/>
      <x:c r="V21" s="40"/>
      <x:c r="W21" s="40"/>
      <x:c r="X21" s="40"/>
      <x:c r="Y21" s="40"/>
      <x:c r="Z21" s="40"/>
      <x:c r="AA21" s="40"/>
      <x:c r="AB21" s="40"/>
      <x:c r="AC21" s="40"/>
      <x:c r="AD21" s="40"/>
      <x:c r="AE21" s="40"/>
      <x:c r="AF21" s="40"/>
      <x:c r="AG21" s="40"/>
      <x:c r="AH21" s="40"/>
      <x:c r="AI21" s="40"/>
      <x:c r="AJ21" s="40"/>
      <x:c r="AK21" s="40"/>
      <x:c r="AL21" s="40"/>
      <x:c r="AM21" s="40"/>
      <x:c r="AN21" s="40"/>
      <x:c r="AO21" s="40"/>
      <x:c r="AP21" s="40"/>
      <x:c r="AQ21" s="40"/>
      <x:c r="AR21" s="40"/>
      <x:c r="AS21" s="40"/>
      <x:c r="AT21" s="40"/>
      <x:c r="AU21" s="40"/>
      <x:c r="AV21" s="40"/>
      <x:c r="AW21" s="40"/>
      <x:c r="AX21" s="40"/>
      <x:c r="AY21" s="40"/>
      <x:c r="AZ21" s="40"/>
      <x:c r="BA21" s="40"/>
      <x:c r="BB21" s="40"/>
      <x:c r="BC21" s="40"/>
      <x:c r="BD21" s="40"/>
      <x:c r="BE21" s="40"/>
      <x:c r="BF21" s="40"/>
      <x:c r="BG21" s="40"/>
      <x:c r="BH21" s="40"/>
      <x:c r="BI21" s="40"/>
      <x:c r="BJ21" s="40"/>
      <x:c r="BK21" s="40"/>
      <x:c r="BL21" s="40"/>
      <x:c r="BM21" s="40"/>
      <x:c r="BN21" s="40"/>
    </x:row>
    <x:row r="22" s="41" customFormat="1" ht="18">
      <x:c r="A22"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2.4</x:v>
      </x:c>
      <x:c r="B22" s="98" t="s">
        <x:v>16</x:v>
      </x:c>
      <x:c r="D22" s="99"/>
      <x:c r="E22" s="78">
        <x:v>43148</x:v>
      </x:c>
      <x:c r="F22" s="79">
        <x:f t="shared" si="6"/>
        <x:v>43153</x:v>
      </x:c>
      <x:c r="G22" s="42">
        <x:v>6</x:v>
      </x:c>
      <x:c r="H22" s="43">
        <x:v>0</x:v>
      </x:c>
      <x:c r="I22" s="44">
        <x:f t="shared" si="4"/>
        <x:v>4</x:v>
      </x:c>
      <x:c r="J22" s="74"/>
      <x:c r="K22" s="40"/>
      <x:c r="L22" s="40"/>
      <x:c r="M22" s="40"/>
      <x:c r="N22" s="40"/>
      <x:c r="O22" s="40"/>
      <x:c r="P22" s="40"/>
      <x:c r="Q22" s="40"/>
      <x:c r="R22" s="40"/>
      <x:c r="S22" s="40"/>
      <x:c r="T22" s="40"/>
      <x:c r="U22" s="40"/>
      <x:c r="V22" s="40"/>
      <x:c r="W22" s="40"/>
      <x:c r="X22" s="40"/>
      <x:c r="Y22" s="40"/>
      <x:c r="Z22" s="40"/>
      <x:c r="AA22" s="40"/>
      <x:c r="AB22" s="40"/>
      <x:c r="AC22" s="40"/>
      <x:c r="AD22" s="40"/>
      <x:c r="AE22" s="40"/>
      <x:c r="AF22" s="40"/>
      <x:c r="AG22" s="40"/>
      <x:c r="AH22" s="40"/>
      <x:c r="AI22" s="40"/>
      <x:c r="AJ22" s="40"/>
      <x:c r="AK22" s="40"/>
      <x:c r="AL22" s="40"/>
      <x:c r="AM22" s="40"/>
      <x:c r="AN22" s="40"/>
      <x:c r="AO22" s="40"/>
      <x:c r="AP22" s="40"/>
      <x:c r="AQ22" s="40"/>
      <x:c r="AR22" s="40"/>
      <x:c r="AS22" s="40"/>
      <x:c r="AT22" s="40"/>
      <x:c r="AU22" s="40"/>
      <x:c r="AV22" s="40"/>
      <x:c r="AW22" s="40"/>
      <x:c r="AX22" s="40"/>
      <x:c r="AY22" s="40"/>
      <x:c r="AZ22" s="40"/>
      <x:c r="BA22" s="40"/>
      <x:c r="BB22" s="40"/>
      <x:c r="BC22" s="40"/>
      <x:c r="BD22" s="40"/>
      <x:c r="BE22" s="40"/>
      <x:c r="BF22" s="40"/>
      <x:c r="BG22" s="40"/>
      <x:c r="BH22" s="40"/>
      <x:c r="BI22" s="40"/>
      <x:c r="BJ22" s="40"/>
      <x:c r="BK22" s="40"/>
      <x:c r="BL22" s="40"/>
      <x:c r="BM22" s="40"/>
      <x:c r="BN22" s="40"/>
    </x:row>
    <x:row r="23" s="41" customFormat="1" ht="18">
      <x:c r="A23"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2.5</x:v>
      </x:c>
      <x:c r="B23" s="98" t="s">
        <x:v>16</x:v>
      </x:c>
      <x:c r="D23" s="99"/>
      <x:c r="E23" s="78">
        <x:v>43154</x:v>
      </x:c>
      <x:c r="F23" s="79">
        <x:f t="shared" si="6"/>
        <x:v>43156</x:v>
      </x:c>
      <x:c r="G23" s="42">
        <x:v>3</x:v>
      </x:c>
      <x:c r="H23" s="43">
        <x:v>0</x:v>
      </x:c>
      <x:c r="I23" s="44">
        <x:f t="shared" si="4"/>
        <x:v>1</x:v>
      </x:c>
      <x:c r="J23" s="74"/>
      <x:c r="K23" s="40"/>
      <x:c r="L23" s="40"/>
      <x:c r="M23" s="40"/>
      <x:c r="N23" s="40"/>
      <x:c r="O23" s="40"/>
      <x:c r="P23" s="40"/>
      <x:c r="Q23" s="40"/>
      <x:c r="R23" s="40"/>
      <x:c r="S23" s="40"/>
      <x:c r="T23" s="40"/>
      <x:c r="U23" s="40"/>
      <x:c r="V23" s="40"/>
      <x:c r="W23" s="40"/>
      <x:c r="X23" s="40"/>
      <x:c r="Y23" s="40"/>
      <x:c r="Z23" s="40"/>
      <x:c r="AA23" s="40"/>
      <x:c r="AB23" s="40"/>
      <x:c r="AC23" s="40"/>
      <x:c r="AD23" s="40"/>
      <x:c r="AE23" s="40"/>
      <x:c r="AF23" s="40"/>
      <x:c r="AG23" s="40"/>
      <x:c r="AH23" s="40"/>
      <x:c r="AI23" s="40"/>
      <x:c r="AJ23" s="40"/>
      <x:c r="AK23" s="40"/>
      <x:c r="AL23" s="40"/>
      <x:c r="AM23" s="40"/>
      <x:c r="AN23" s="40"/>
      <x:c r="AO23" s="40"/>
      <x:c r="AP23" s="40"/>
      <x:c r="AQ23" s="40"/>
      <x:c r="AR23" s="40"/>
      <x:c r="AS23" s="40"/>
      <x:c r="AT23" s="40"/>
      <x:c r="AU23" s="40"/>
      <x:c r="AV23" s="40"/>
      <x:c r="AW23" s="40"/>
      <x:c r="AX23" s="40"/>
      <x:c r="AY23" s="40"/>
      <x:c r="AZ23" s="40"/>
      <x:c r="BA23" s="40"/>
      <x:c r="BB23" s="40"/>
      <x:c r="BC23" s="40"/>
      <x:c r="BD23" s="40"/>
      <x:c r="BE23" s="40"/>
      <x:c r="BF23" s="40"/>
      <x:c r="BG23" s="40"/>
      <x:c r="BH23" s="40"/>
      <x:c r="BI23" s="40"/>
      <x:c r="BJ23" s="40"/>
      <x:c r="BK23" s="40"/>
      <x:c r="BL23" s="40"/>
      <x:c r="BM23" s="40"/>
      <x:c r="BN23" s="40"/>
    </x:row>
    <x:row r="24" s="35" customFormat="1" ht="18">
      <x:c r="A24" s="33" t="str">
        <x:f>IF(ISERROR(VALUE(SUBSTITUTE(prevWBS,".",""))),"1",IF(ISERROR(FIND("`",SUBSTITUTE(prevWBS,".","`",1))),TEXT(VALUE(prevWBS)+1,"#"),TEXT(VALUE(LEFT(prevWBS,FIND("`",SUBSTITUTE(prevWBS,".","`",1))-1))+1,"#")))</x:f>
        <x:v>3</x:v>
      </x:c>
      <x:c r="B24" s="34" t="s">
        <x:v>15</x:v>
      </x:c>
      <x:c r="D24" s="36"/>
      <x:c r="E24" s="80"/>
      <x:c r="F24" s="80" t="str">
        <x:f t="shared" si="6"/>
        <x:v> - </x:v>
      </x:c>
      <x:c r="G24" s="37"/>
      <x:c r="H24" s="38"/>
      <x:c r="I24" s="39" t="str">
        <x:f t="shared" si="4"/>
        <x:v> - </x:v>
      </x:c>
      <x:c r="J24" s="75"/>
      <x:c r="K24" s="86"/>
      <x:c r="L24" s="86"/>
      <x:c r="M24" s="86"/>
      <x:c r="N24" s="86"/>
      <x:c r="O24" s="86"/>
      <x:c r="P24" s="86"/>
      <x:c r="Q24" s="86"/>
      <x:c r="R24" s="86"/>
      <x:c r="S24" s="86"/>
      <x:c r="T24" s="86"/>
      <x:c r="U24" s="86"/>
      <x:c r="V24" s="86"/>
      <x:c r="W24" s="86"/>
      <x:c r="X24" s="86"/>
      <x:c r="Y24" s="86"/>
      <x:c r="Z24" s="86"/>
      <x:c r="AA24" s="86"/>
      <x:c r="AB24" s="86"/>
      <x:c r="AC24" s="86"/>
      <x:c r="AD24" s="86"/>
      <x:c r="AE24" s="86"/>
      <x:c r="AF24" s="86"/>
      <x:c r="AG24" s="86"/>
      <x:c r="AH24" s="86"/>
      <x:c r="AI24" s="86"/>
      <x:c r="AJ24" s="86"/>
      <x:c r="AK24" s="86"/>
      <x:c r="AL24" s="86"/>
      <x:c r="AM24" s="86"/>
      <x:c r="AN24" s="86"/>
      <x:c r="AO24" s="86"/>
      <x:c r="AP24" s="86"/>
      <x:c r="AQ24" s="86"/>
      <x:c r="AR24" s="86"/>
      <x:c r="AS24" s="86"/>
      <x:c r="AT24" s="86"/>
      <x:c r="AU24" s="86"/>
      <x:c r="AV24" s="86"/>
      <x:c r="AW24" s="86"/>
      <x:c r="AX24" s="86"/>
      <x:c r="AY24" s="86"/>
      <x:c r="AZ24" s="86"/>
      <x:c r="BA24" s="86"/>
      <x:c r="BB24" s="86"/>
      <x:c r="BC24" s="86"/>
      <x:c r="BD24" s="86"/>
      <x:c r="BE24" s="86"/>
      <x:c r="BF24" s="86"/>
      <x:c r="BG24" s="86"/>
      <x:c r="BH24" s="86"/>
      <x:c r="BI24" s="86"/>
      <x:c r="BJ24" s="86"/>
      <x:c r="BK24" s="86"/>
      <x:c r="BL24" s="86"/>
      <x:c r="BM24" s="86"/>
      <x:c r="BN24" s="86"/>
    </x:row>
    <x:row r="25" s="41" customFormat="1" ht="18">
      <x:c r="A25"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3.1</x:v>
      </x:c>
      <x:c r="B25" s="98" t="s">
        <x:v>16</x:v>
      </x:c>
      <x:c r="D25" s="99"/>
      <x:c r="E25" s="78">
        <x:v>43141</x:v>
      </x:c>
      <x:c r="F25" s="79">
        <x:f t="shared" si="6"/>
        <x:v>43144</x:v>
      </x:c>
      <x:c r="G25" s="42">
        <x:v>4</x:v>
      </x:c>
      <x:c r="H25" s="43">
        <x:v>0</x:v>
      </x:c>
      <x:c r="I25" s="44">
        <x:f t="shared" si="4"/>
        <x:v>2</x:v>
      </x:c>
      <x:c r="J25" s="74"/>
      <x:c r="K25" s="40"/>
      <x:c r="L25" s="40"/>
      <x:c r="M25" s="40"/>
      <x:c r="N25" s="40"/>
      <x:c r="O25" s="40"/>
      <x:c r="P25" s="40"/>
      <x:c r="Q25" s="40"/>
      <x:c r="R25" s="40"/>
      <x:c r="S25" s="40"/>
      <x:c r="T25" s="40"/>
      <x:c r="U25" s="40"/>
      <x:c r="V25" s="40"/>
      <x:c r="W25" s="40"/>
      <x:c r="X25" s="40"/>
      <x:c r="Y25" s="40"/>
      <x:c r="Z25" s="40"/>
      <x:c r="AA25" s="40"/>
      <x:c r="AB25" s="40"/>
      <x:c r="AC25" s="40"/>
      <x:c r="AD25" s="40"/>
      <x:c r="AE25" s="40"/>
      <x:c r="AF25" s="40"/>
      <x:c r="AG25" s="40"/>
      <x:c r="AH25" s="40"/>
      <x:c r="AI25" s="40"/>
      <x:c r="AJ25" s="40"/>
      <x:c r="AK25" s="40"/>
      <x:c r="AL25" s="40"/>
      <x:c r="AM25" s="40"/>
      <x:c r="AN25" s="40"/>
      <x:c r="AO25" s="40"/>
      <x:c r="AP25" s="40"/>
      <x:c r="AQ25" s="40"/>
      <x:c r="AR25" s="40"/>
      <x:c r="AS25" s="40"/>
      <x:c r="AT25" s="40"/>
      <x:c r="AU25" s="40"/>
      <x:c r="AV25" s="40"/>
      <x:c r="AW25" s="40"/>
      <x:c r="AX25" s="40"/>
      <x:c r="AY25" s="40"/>
      <x:c r="AZ25" s="40"/>
      <x:c r="BA25" s="40"/>
      <x:c r="BB25" s="40"/>
      <x:c r="BC25" s="40"/>
      <x:c r="BD25" s="40"/>
      <x:c r="BE25" s="40"/>
      <x:c r="BF25" s="40"/>
      <x:c r="BG25" s="40"/>
      <x:c r="BH25" s="40"/>
      <x:c r="BI25" s="40"/>
      <x:c r="BJ25" s="40"/>
      <x:c r="BK25" s="40"/>
      <x:c r="BL25" s="40"/>
      <x:c r="BM25" s="40"/>
      <x:c r="BN25" s="40"/>
    </x:row>
    <x:row r="26" s="41" customFormat="1" ht="18">
      <x:c r="A26"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3.2</x:v>
      </x:c>
      <x:c r="B26" s="98" t="s">
        <x:v>16</x:v>
      </x:c>
      <x:c r="D26" s="99"/>
      <x:c r="E26" s="78">
        <x:v>43145</x:v>
      </x:c>
      <x:c r="F26" s="79">
        <x:f t="shared" si="6"/>
        <x:v>43147</x:v>
      </x:c>
      <x:c r="G26" s="42">
        <x:v>3</x:v>
      </x:c>
      <x:c r="H26" s="43">
        <x:v>0</x:v>
      </x:c>
      <x:c r="I26" s="44">
        <x:f t="shared" si="4"/>
        <x:v>3</x:v>
      </x:c>
      <x:c r="J26" s="74"/>
      <x:c r="K26" s="40"/>
      <x:c r="L26" s="40"/>
      <x:c r="M26" s="40"/>
      <x:c r="N26" s="40"/>
      <x:c r="O26" s="40"/>
      <x:c r="P26" s="40"/>
      <x:c r="Q26" s="40"/>
      <x:c r="R26" s="40"/>
      <x:c r="S26" s="40"/>
      <x:c r="T26" s="40"/>
      <x:c r="U26" s="40"/>
      <x:c r="V26" s="40"/>
      <x:c r="W26" s="40"/>
      <x:c r="X26" s="40"/>
      <x:c r="Y26" s="40"/>
      <x:c r="Z26" s="40"/>
      <x:c r="AA26" s="40"/>
      <x:c r="AB26" s="40"/>
      <x:c r="AC26" s="40"/>
      <x:c r="AD26" s="40"/>
      <x:c r="AE26" s="40"/>
      <x:c r="AF26" s="40"/>
      <x:c r="AG26" s="40"/>
      <x:c r="AH26" s="40"/>
      <x:c r="AI26" s="40"/>
      <x:c r="AJ26" s="40"/>
      <x:c r="AK26" s="40"/>
      <x:c r="AL26" s="40"/>
      <x:c r="AM26" s="40"/>
      <x:c r="AN26" s="40"/>
      <x:c r="AO26" s="40"/>
      <x:c r="AP26" s="40"/>
      <x:c r="AQ26" s="40"/>
      <x:c r="AR26" s="40"/>
      <x:c r="AS26" s="40"/>
      <x:c r="AT26" s="40"/>
      <x:c r="AU26" s="40"/>
      <x:c r="AV26" s="40"/>
      <x:c r="AW26" s="40"/>
      <x:c r="AX26" s="40"/>
      <x:c r="AY26" s="40"/>
      <x:c r="AZ26" s="40"/>
      <x:c r="BA26" s="40"/>
      <x:c r="BB26" s="40"/>
      <x:c r="BC26" s="40"/>
      <x:c r="BD26" s="40"/>
      <x:c r="BE26" s="40"/>
      <x:c r="BF26" s="40"/>
      <x:c r="BG26" s="40"/>
      <x:c r="BH26" s="40"/>
      <x:c r="BI26" s="40"/>
      <x:c r="BJ26" s="40"/>
      <x:c r="BK26" s="40"/>
      <x:c r="BL26" s="40"/>
      <x:c r="BM26" s="40"/>
      <x:c r="BN26" s="40"/>
    </x:row>
    <x:row r="27" s="41" customFormat="1" ht="18">
      <x:c r="A27"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3.3</x:v>
      </x:c>
      <x:c r="B27" s="98" t="s">
        <x:v>16</x:v>
      </x:c>
      <x:c r="D27" s="99"/>
      <x:c r="E27" s="78">
        <x:v>43145</x:v>
      </x:c>
      <x:c r="F27" s="79">
        <x:f t="shared" si="6"/>
        <x:v>43147</x:v>
      </x:c>
      <x:c r="G27" s="42">
        <x:v>3</x:v>
      </x:c>
      <x:c r="H27" s="43">
        <x:v>0</x:v>
      </x:c>
      <x:c r="I27" s="44">
        <x:f t="shared" si="4"/>
        <x:v>3</x:v>
      </x:c>
      <x:c r="J27" s="74"/>
      <x:c r="K27" s="40"/>
      <x:c r="L27" s="40"/>
      <x:c r="M27" s="40"/>
      <x:c r="N27" s="40"/>
      <x:c r="O27" s="40"/>
      <x:c r="P27" s="40"/>
      <x:c r="Q27" s="40"/>
      <x:c r="R27" s="40"/>
      <x:c r="S27" s="40"/>
      <x:c r="T27" s="40"/>
      <x:c r="U27" s="40"/>
      <x:c r="V27" s="40"/>
      <x:c r="W27" s="40"/>
      <x:c r="X27" s="40"/>
      <x:c r="Y27" s="40"/>
      <x:c r="Z27" s="40"/>
      <x:c r="AA27" s="40"/>
      <x:c r="AB27" s="40"/>
      <x:c r="AC27" s="40"/>
      <x:c r="AD27" s="40"/>
      <x:c r="AE27" s="40"/>
      <x:c r="AF27" s="40"/>
      <x:c r="AG27" s="40"/>
      <x:c r="AH27" s="40"/>
      <x:c r="AI27" s="40"/>
      <x:c r="AJ27" s="40"/>
      <x:c r="AK27" s="40"/>
      <x:c r="AL27" s="40"/>
      <x:c r="AM27" s="40"/>
      <x:c r="AN27" s="40"/>
      <x:c r="AO27" s="40"/>
      <x:c r="AP27" s="40"/>
      <x:c r="AQ27" s="40"/>
      <x:c r="AR27" s="40"/>
      <x:c r="AS27" s="40"/>
      <x:c r="AT27" s="40"/>
      <x:c r="AU27" s="40"/>
      <x:c r="AV27" s="40"/>
      <x:c r="AW27" s="40"/>
      <x:c r="AX27" s="40"/>
      <x:c r="AY27" s="40"/>
      <x:c r="AZ27" s="40"/>
      <x:c r="BA27" s="40"/>
      <x:c r="BB27" s="40"/>
      <x:c r="BC27" s="40"/>
      <x:c r="BD27" s="40"/>
      <x:c r="BE27" s="40"/>
      <x:c r="BF27" s="40"/>
      <x:c r="BG27" s="40"/>
      <x:c r="BH27" s="40"/>
      <x:c r="BI27" s="40"/>
      <x:c r="BJ27" s="40"/>
      <x:c r="BK27" s="40"/>
      <x:c r="BL27" s="40"/>
      <x:c r="BM27" s="40"/>
      <x:c r="BN27" s="40"/>
    </x:row>
    <x:row r="28" s="41" customFormat="1" ht="18">
      <x:c r="A28"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3.4</x:v>
      </x:c>
      <x:c r="B28" s="98" t="s">
        <x:v>16</x:v>
      </x:c>
      <x:c r="D28" s="99"/>
      <x:c r="E28" s="78">
        <x:v>43148</x:v>
      </x:c>
      <x:c r="F28" s="79">
        <x:f t="shared" si="6"/>
        <x:v>43153</x:v>
      </x:c>
      <x:c r="G28" s="42">
        <x:v>6</x:v>
      </x:c>
      <x:c r="H28" s="43">
        <x:v>0</x:v>
      </x:c>
      <x:c r="I28" s="44">
        <x:f t="shared" si="4"/>
        <x:v>4</x:v>
      </x:c>
      <x:c r="J28" s="74"/>
      <x:c r="K28" s="40"/>
      <x:c r="L28" s="40"/>
      <x:c r="M28" s="40"/>
      <x:c r="N28" s="40"/>
      <x:c r="O28" s="40"/>
      <x:c r="P28" s="40"/>
      <x:c r="Q28" s="40"/>
      <x:c r="R28" s="40"/>
      <x:c r="S28" s="40"/>
      <x:c r="T28" s="40"/>
      <x:c r="U28" s="40"/>
      <x:c r="V28" s="40"/>
      <x:c r="W28" s="40"/>
      <x:c r="X28" s="40"/>
      <x:c r="Y28" s="40"/>
      <x:c r="Z28" s="40"/>
      <x:c r="AA28" s="40"/>
      <x:c r="AB28" s="40"/>
      <x:c r="AC28" s="40"/>
      <x:c r="AD28" s="40"/>
      <x:c r="AE28" s="40"/>
      <x:c r="AF28" s="40"/>
      <x:c r="AG28" s="40"/>
      <x:c r="AH28" s="40"/>
      <x:c r="AI28" s="40"/>
      <x:c r="AJ28" s="40"/>
      <x:c r="AK28" s="40"/>
      <x:c r="AL28" s="40"/>
      <x:c r="AM28" s="40"/>
      <x:c r="AN28" s="40"/>
      <x:c r="AO28" s="40"/>
      <x:c r="AP28" s="40"/>
      <x:c r="AQ28" s="40"/>
      <x:c r="AR28" s="40"/>
      <x:c r="AS28" s="40"/>
      <x:c r="AT28" s="40"/>
      <x:c r="AU28" s="40"/>
      <x:c r="AV28" s="40"/>
      <x:c r="AW28" s="40"/>
      <x:c r="AX28" s="40"/>
      <x:c r="AY28" s="40"/>
      <x:c r="AZ28" s="40"/>
      <x:c r="BA28" s="40"/>
      <x:c r="BB28" s="40"/>
      <x:c r="BC28" s="40"/>
      <x:c r="BD28" s="40"/>
      <x:c r="BE28" s="40"/>
      <x:c r="BF28" s="40"/>
      <x:c r="BG28" s="40"/>
      <x:c r="BH28" s="40"/>
      <x:c r="BI28" s="40"/>
      <x:c r="BJ28" s="40"/>
      <x:c r="BK28" s="40"/>
      <x:c r="BL28" s="40"/>
      <x:c r="BM28" s="40"/>
      <x:c r="BN28" s="40"/>
    </x:row>
    <x:row r="29" s="41" customFormat="1" ht="18">
      <x:c r="A29"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3.5</x:v>
      </x:c>
      <x:c r="B29" s="98" t="s">
        <x:v>16</x:v>
      </x:c>
      <x:c r="D29" s="99"/>
      <x:c r="E29" s="78">
        <x:v>43154</x:v>
      </x:c>
      <x:c r="F29" s="79">
        <x:f t="shared" si="6"/>
        <x:v>43156</x:v>
      </x:c>
      <x:c r="G29" s="42">
        <x:v>3</x:v>
      </x:c>
      <x:c r="H29" s="43">
        <x:v>0</x:v>
      </x:c>
      <x:c r="I29" s="44">
        <x:f t="shared" si="4"/>
        <x:v>1</x:v>
      </x:c>
      <x:c r="J29" s="74"/>
      <x:c r="K29" s="40"/>
      <x:c r="L29" s="40"/>
      <x:c r="M29" s="40"/>
      <x:c r="N29" s="40"/>
      <x:c r="O29" s="40"/>
      <x:c r="P29" s="40"/>
      <x:c r="Q29" s="40"/>
      <x:c r="R29" s="40"/>
      <x:c r="S29" s="40"/>
      <x:c r="T29" s="40"/>
      <x:c r="U29" s="40"/>
      <x:c r="V29" s="40"/>
      <x:c r="W29" s="40"/>
      <x:c r="X29" s="40"/>
      <x:c r="Y29" s="40"/>
      <x:c r="Z29" s="40"/>
      <x:c r="AA29" s="40"/>
      <x:c r="AB29" s="40"/>
      <x:c r="AC29" s="40"/>
      <x:c r="AD29" s="40"/>
      <x:c r="AE29" s="40"/>
      <x:c r="AF29" s="40"/>
      <x:c r="AG29" s="40"/>
      <x:c r="AH29" s="40"/>
      <x:c r="AI29" s="40"/>
      <x:c r="AJ29" s="40"/>
      <x:c r="AK29" s="40"/>
      <x:c r="AL29" s="40"/>
      <x:c r="AM29" s="40"/>
      <x:c r="AN29" s="40"/>
      <x:c r="AO29" s="40"/>
      <x:c r="AP29" s="40"/>
      <x:c r="AQ29" s="40"/>
      <x:c r="AR29" s="40"/>
      <x:c r="AS29" s="40"/>
      <x:c r="AT29" s="40"/>
      <x:c r="AU29" s="40"/>
      <x:c r="AV29" s="40"/>
      <x:c r="AW29" s="40"/>
      <x:c r="AX29" s="40"/>
      <x:c r="AY29" s="40"/>
      <x:c r="AZ29" s="40"/>
      <x:c r="BA29" s="40"/>
      <x:c r="BB29" s="40"/>
      <x:c r="BC29" s="40"/>
      <x:c r="BD29" s="40"/>
      <x:c r="BE29" s="40"/>
      <x:c r="BF29" s="40"/>
      <x:c r="BG29" s="40"/>
      <x:c r="BH29" s="40"/>
      <x:c r="BI29" s="40"/>
      <x:c r="BJ29" s="40"/>
      <x:c r="BK29" s="40"/>
      <x:c r="BL29" s="40"/>
      <x:c r="BM29" s="40"/>
      <x:c r="BN29" s="40"/>
    </x:row>
    <x:row r="30" s="35" customFormat="1" ht="18">
      <x:c r="A30" s="33" t="str">
        <x:f>IF(ISERROR(VALUE(SUBSTITUTE(prevWBS,".",""))),"1",IF(ISERROR(FIND("`",SUBSTITUTE(prevWBS,".","`",1))),TEXT(VALUE(prevWBS)+1,"#"),TEXT(VALUE(LEFT(prevWBS,FIND("`",SUBSTITUTE(prevWBS,".","`",1))-1))+1,"#")))</x:f>
        <x:v>4</x:v>
      </x:c>
      <x:c r="B30" s="34" t="s">
        <x:v>15</x:v>
      </x:c>
      <x:c r="D30" s="36"/>
      <x:c r="E30" s="80"/>
      <x:c r="F30" s="80" t="str">
        <x:f t="shared" si="6"/>
        <x:v> - </x:v>
      </x:c>
      <x:c r="G30" s="37"/>
      <x:c r="H30" s="38"/>
      <x:c r="I30" s="39" t="str">
        <x:f t="shared" si="4"/>
        <x:v> - </x:v>
      </x:c>
      <x:c r="J30" s="75"/>
      <x:c r="K30" s="86"/>
      <x:c r="L30" s="86"/>
      <x:c r="M30" s="86"/>
      <x:c r="N30" s="86"/>
      <x:c r="O30" s="86"/>
      <x:c r="P30" s="86"/>
      <x:c r="Q30" s="86"/>
      <x:c r="R30" s="86"/>
      <x:c r="S30" s="86"/>
      <x:c r="T30" s="86"/>
      <x:c r="U30" s="86"/>
      <x:c r="V30" s="86"/>
      <x:c r="W30" s="86"/>
      <x:c r="X30" s="86"/>
      <x:c r="Y30" s="86"/>
      <x:c r="Z30" s="86"/>
      <x:c r="AA30" s="86"/>
      <x:c r="AB30" s="86"/>
      <x:c r="AC30" s="86"/>
      <x:c r="AD30" s="86"/>
      <x:c r="AE30" s="86"/>
      <x:c r="AF30" s="86"/>
      <x:c r="AG30" s="86"/>
      <x:c r="AH30" s="86"/>
      <x:c r="AI30" s="86"/>
      <x:c r="AJ30" s="86"/>
      <x:c r="AK30" s="86"/>
      <x:c r="AL30" s="86"/>
      <x:c r="AM30" s="86"/>
      <x:c r="AN30" s="86"/>
      <x:c r="AO30" s="86"/>
      <x:c r="AP30" s="86"/>
      <x:c r="AQ30" s="86"/>
      <x:c r="AR30" s="86"/>
      <x:c r="AS30" s="86"/>
      <x:c r="AT30" s="86"/>
      <x:c r="AU30" s="86"/>
      <x:c r="AV30" s="86"/>
      <x:c r="AW30" s="86"/>
      <x:c r="AX30" s="86"/>
      <x:c r="AY30" s="86"/>
      <x:c r="AZ30" s="86"/>
      <x:c r="BA30" s="86"/>
      <x:c r="BB30" s="86"/>
      <x:c r="BC30" s="86"/>
      <x:c r="BD30" s="86"/>
      <x:c r="BE30" s="86"/>
      <x:c r="BF30" s="86"/>
      <x:c r="BG30" s="86"/>
      <x:c r="BH30" s="86"/>
      <x:c r="BI30" s="86"/>
      <x:c r="BJ30" s="86"/>
      <x:c r="BK30" s="86"/>
      <x:c r="BL30" s="86"/>
      <x:c r="BM30" s="86"/>
      <x:c r="BN30" s="86"/>
    </x:row>
    <x:row r="31" s="41" customFormat="1" ht="18">
      <x:c r="A31"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4.1</x:v>
      </x:c>
      <x:c r="B31" s="98" t="s">
        <x:v>16</x:v>
      </x:c>
      <x:c r="D31" s="99"/>
      <x:c r="E31" s="78">
        <x:v>43129</x:v>
      </x:c>
      <x:c r="F31" s="79">
        <x:f t="shared" si="6"/>
        <x:v>43129</x:v>
      </x:c>
      <x:c r="G31" s="42">
        <x:v>1</x:v>
      </x:c>
      <x:c r="H31" s="43">
        <x:v>0</x:v>
      </x:c>
      <x:c r="I31" s="44">
        <x:f t="shared" si="4"/>
        <x:v>1</x:v>
      </x:c>
      <x:c r="J31" s="74"/>
      <x:c r="K31" s="40"/>
      <x:c r="L31" s="40"/>
      <x:c r="M31" s="40"/>
      <x:c r="N31" s="40"/>
      <x:c r="O31" s="40"/>
      <x:c r="P31" s="40"/>
      <x:c r="Q31" s="40"/>
      <x:c r="R31" s="40"/>
      <x:c r="S31" s="40"/>
      <x:c r="T31" s="40"/>
      <x:c r="U31" s="40"/>
      <x:c r="V31" s="40"/>
      <x:c r="W31" s="40"/>
      <x:c r="X31" s="40"/>
      <x:c r="Y31" s="40"/>
      <x:c r="Z31" s="40"/>
      <x:c r="AA31" s="40"/>
      <x:c r="AB31" s="40"/>
      <x:c r="AC31" s="40"/>
      <x:c r="AD31" s="40"/>
      <x:c r="AE31" s="40"/>
      <x:c r="AF31" s="40"/>
      <x:c r="AG31" s="40"/>
      <x:c r="AH31" s="40"/>
      <x:c r="AI31" s="40"/>
      <x:c r="AJ31" s="40"/>
      <x:c r="AK31" s="40"/>
      <x:c r="AL31" s="40"/>
      <x:c r="AM31" s="40"/>
      <x:c r="AN31" s="40"/>
      <x:c r="AO31" s="40"/>
      <x:c r="AP31" s="40"/>
      <x:c r="AQ31" s="40"/>
      <x:c r="AR31" s="40"/>
      <x:c r="AS31" s="40"/>
      <x:c r="AT31" s="40"/>
      <x:c r="AU31" s="40"/>
      <x:c r="AV31" s="40"/>
      <x:c r="AW31" s="40"/>
      <x:c r="AX31" s="40"/>
      <x:c r="AY31" s="40"/>
      <x:c r="AZ31" s="40"/>
      <x:c r="BA31" s="40"/>
      <x:c r="BB31" s="40"/>
      <x:c r="BC31" s="40"/>
      <x:c r="BD31" s="40"/>
      <x:c r="BE31" s="40"/>
      <x:c r="BF31" s="40"/>
      <x:c r="BG31" s="40"/>
      <x:c r="BH31" s="40"/>
      <x:c r="BI31" s="40"/>
      <x:c r="BJ31" s="40"/>
      <x:c r="BK31" s="40"/>
      <x:c r="BL31" s="40"/>
      <x:c r="BM31" s="40"/>
      <x:c r="BN31" s="40"/>
    </x:row>
    <x:row r="32" s="41" customFormat="1" ht="18">
      <x:c r="A32"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4.2</x:v>
      </x:c>
      <x:c r="B32" s="98" t="s">
        <x:v>16</x:v>
      </x:c>
      <x:c r="D32" s="99"/>
      <x:c r="E32" s="78">
        <x:v>43130</x:v>
      </x:c>
      <x:c r="F32" s="79">
        <x:f t="shared" si="6"/>
        <x:v>43130</x:v>
      </x:c>
      <x:c r="G32" s="42">
        <x:v>1</x:v>
      </x:c>
      <x:c r="H32" s="43">
        <x:v>0</x:v>
      </x:c>
      <x:c r="I32" s="44">
        <x:f t="shared" si="4"/>
        <x:v>1</x:v>
      </x:c>
      <x:c r="J32" s="74"/>
      <x:c r="K32" s="40"/>
      <x:c r="L32" s="40"/>
      <x:c r="M32" s="40"/>
      <x:c r="N32" s="40"/>
      <x:c r="O32" s="40"/>
      <x:c r="P32" s="40"/>
      <x:c r="Q32" s="40"/>
      <x:c r="R32" s="40"/>
      <x:c r="S32" s="40"/>
      <x:c r="T32" s="40"/>
      <x:c r="U32" s="40"/>
      <x:c r="V32" s="40"/>
      <x:c r="W32" s="40"/>
      <x:c r="X32" s="40"/>
      <x:c r="Y32" s="40"/>
      <x:c r="Z32" s="40"/>
      <x:c r="AA32" s="40"/>
      <x:c r="AB32" s="40"/>
      <x:c r="AC32" s="40"/>
      <x:c r="AD32" s="40"/>
      <x:c r="AE32" s="40"/>
      <x:c r="AF32" s="40"/>
      <x:c r="AG32" s="40"/>
      <x:c r="AH32" s="40"/>
      <x:c r="AI32" s="40"/>
      <x:c r="AJ32" s="40"/>
      <x:c r="AK32" s="40"/>
      <x:c r="AL32" s="40"/>
      <x:c r="AM32" s="40"/>
      <x:c r="AN32" s="40"/>
      <x:c r="AO32" s="40"/>
      <x:c r="AP32" s="40"/>
      <x:c r="AQ32" s="40"/>
      <x:c r="AR32" s="40"/>
      <x:c r="AS32" s="40"/>
      <x:c r="AT32" s="40"/>
      <x:c r="AU32" s="40"/>
      <x:c r="AV32" s="40"/>
      <x:c r="AW32" s="40"/>
      <x:c r="AX32" s="40"/>
      <x:c r="AY32" s="40"/>
      <x:c r="AZ32" s="40"/>
      <x:c r="BA32" s="40"/>
      <x:c r="BB32" s="40"/>
      <x:c r="BC32" s="40"/>
      <x:c r="BD32" s="40"/>
      <x:c r="BE32" s="40"/>
      <x:c r="BF32" s="40"/>
      <x:c r="BG32" s="40"/>
      <x:c r="BH32" s="40"/>
      <x:c r="BI32" s="40"/>
      <x:c r="BJ32" s="40"/>
      <x:c r="BK32" s="40"/>
      <x:c r="BL32" s="40"/>
      <x:c r="BM32" s="40"/>
      <x:c r="BN32" s="40"/>
    </x:row>
    <x:row r="33" s="41" customFormat="1" ht="18">
      <x:c r="A33"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4.3</x:v>
      </x:c>
      <x:c r="B33" s="98" t="s">
        <x:v>16</x:v>
      </x:c>
      <x:c r="D33" s="99"/>
      <x:c r="E33" s="78">
        <x:v>43131</x:v>
      </x:c>
      <x:c r="F33" s="79">
        <x:f t="shared" si="6"/>
        <x:v>43131</x:v>
      </x:c>
      <x:c r="G33" s="42">
        <x:v>1</x:v>
      </x:c>
      <x:c r="H33" s="43">
        <x:v>0</x:v>
      </x:c>
      <x:c r="I33" s="44">
        <x:f t="shared" si="4"/>
        <x:v>1</x:v>
      </x:c>
      <x:c r="J33" s="74"/>
      <x:c r="K33" s="40"/>
      <x:c r="L33" s="40"/>
      <x:c r="M33" s="40"/>
      <x:c r="N33" s="40"/>
      <x:c r="O33" s="40"/>
      <x:c r="P33" s="40"/>
      <x:c r="Q33" s="40"/>
      <x:c r="R33" s="40"/>
      <x:c r="S33" s="40"/>
      <x:c r="T33" s="40"/>
      <x:c r="U33" s="40"/>
      <x:c r="V33" s="40"/>
      <x:c r="W33" s="40"/>
      <x:c r="X33" s="40"/>
      <x:c r="Y33" s="40"/>
      <x:c r="Z33" s="40"/>
      <x:c r="AA33" s="40"/>
      <x:c r="AB33" s="40"/>
      <x:c r="AC33" s="40"/>
      <x:c r="AD33" s="40"/>
      <x:c r="AE33" s="40"/>
      <x:c r="AF33" s="40"/>
      <x:c r="AG33" s="40"/>
      <x:c r="AH33" s="40"/>
      <x:c r="AI33" s="40"/>
      <x:c r="AJ33" s="40"/>
      <x:c r="AK33" s="40"/>
      <x:c r="AL33" s="40"/>
      <x:c r="AM33" s="40"/>
      <x:c r="AN33" s="40"/>
      <x:c r="AO33" s="40"/>
      <x:c r="AP33" s="40"/>
      <x:c r="AQ33" s="40"/>
      <x:c r="AR33" s="40"/>
      <x:c r="AS33" s="40"/>
      <x:c r="AT33" s="40"/>
      <x:c r="AU33" s="40"/>
      <x:c r="AV33" s="40"/>
      <x:c r="AW33" s="40"/>
      <x:c r="AX33" s="40"/>
      <x:c r="AY33" s="40"/>
      <x:c r="AZ33" s="40"/>
      <x:c r="BA33" s="40"/>
      <x:c r="BB33" s="40"/>
      <x:c r="BC33" s="40"/>
      <x:c r="BD33" s="40"/>
      <x:c r="BE33" s="40"/>
      <x:c r="BF33" s="40"/>
      <x:c r="BG33" s="40"/>
      <x:c r="BH33" s="40"/>
      <x:c r="BI33" s="40"/>
      <x:c r="BJ33" s="40"/>
      <x:c r="BK33" s="40"/>
      <x:c r="BL33" s="40"/>
      <x:c r="BM33" s="40"/>
      <x:c r="BN33" s="40"/>
    </x:row>
    <x:row r="34" s="41" customFormat="1" ht="18">
      <x:c r="A34"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4.4</x:v>
      </x:c>
      <x:c r="B34" s="98" t="s">
        <x:v>16</x:v>
      </x:c>
      <x:c r="D34" s="99"/>
      <x:c r="E34" s="78">
        <x:v>43132</x:v>
      </x:c>
      <x:c r="F34" s="79">
        <x:f t="shared" si="6"/>
        <x:v>43132</x:v>
      </x:c>
      <x:c r="G34" s="42">
        <x:v>1</x:v>
      </x:c>
      <x:c r="H34" s="43">
        <x:v>0</x:v>
      </x:c>
      <x:c r="I34" s="44">
        <x:f t="shared" si="4"/>
        <x:v>1</x:v>
      </x:c>
      <x:c r="J34" s="74"/>
      <x:c r="K34" s="40"/>
      <x:c r="L34" s="40"/>
      <x:c r="M34" s="40"/>
      <x:c r="N34" s="40"/>
      <x:c r="O34" s="40"/>
      <x:c r="P34" s="40"/>
      <x:c r="Q34" s="40"/>
      <x:c r="R34" s="40"/>
      <x:c r="S34" s="40"/>
      <x:c r="T34" s="40"/>
      <x:c r="U34" s="40"/>
      <x:c r="V34" s="40"/>
      <x:c r="W34" s="40"/>
      <x:c r="X34" s="40"/>
      <x:c r="Y34" s="40"/>
      <x:c r="Z34" s="40"/>
      <x:c r="AA34" s="40"/>
      <x:c r="AB34" s="40"/>
      <x:c r="AC34" s="40"/>
      <x:c r="AD34" s="40"/>
      <x:c r="AE34" s="40"/>
      <x:c r="AF34" s="40"/>
      <x:c r="AG34" s="40"/>
      <x:c r="AH34" s="40"/>
      <x:c r="AI34" s="40"/>
      <x:c r="AJ34" s="40"/>
      <x:c r="AK34" s="40"/>
      <x:c r="AL34" s="40"/>
      <x:c r="AM34" s="40"/>
      <x:c r="AN34" s="40"/>
      <x:c r="AO34" s="40"/>
      <x:c r="AP34" s="40"/>
      <x:c r="AQ34" s="40"/>
      <x:c r="AR34" s="40"/>
      <x:c r="AS34" s="40"/>
      <x:c r="AT34" s="40"/>
      <x:c r="AU34" s="40"/>
      <x:c r="AV34" s="40"/>
      <x:c r="AW34" s="40"/>
      <x:c r="AX34" s="40"/>
      <x:c r="AY34" s="40"/>
      <x:c r="AZ34" s="40"/>
      <x:c r="BA34" s="40"/>
      <x:c r="BB34" s="40"/>
      <x:c r="BC34" s="40"/>
      <x:c r="BD34" s="40"/>
      <x:c r="BE34" s="40"/>
      <x:c r="BF34" s="40"/>
      <x:c r="BG34" s="40"/>
      <x:c r="BH34" s="40"/>
      <x:c r="BI34" s="40"/>
      <x:c r="BJ34" s="40"/>
      <x:c r="BK34" s="40"/>
      <x:c r="BL34" s="40"/>
      <x:c r="BM34" s="40"/>
      <x:c r="BN34" s="40"/>
    </x:row>
    <x:row r="35" s="41" customFormat="1" ht="18">
      <x:c r="A35"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4.5</x:v>
      </x:c>
      <x:c r="B35" s="98" t="s">
        <x:v>16</x:v>
      </x:c>
      <x:c r="D35" s="99"/>
      <x:c r="E35" s="78">
        <x:v>43133</x:v>
      </x:c>
      <x:c r="F35" s="79">
        <x:f t="shared" si="6"/>
        <x:v>43133</x:v>
      </x:c>
      <x:c r="G35" s="42">
        <x:v>1</x:v>
      </x:c>
      <x:c r="H35" s="43">
        <x:v>0</x:v>
      </x:c>
      <x:c r="I35" s="44">
        <x:f t="shared" si="4"/>
        <x:v>1</x:v>
      </x:c>
      <x:c r="J35" s="74"/>
      <x:c r="K35" s="40"/>
      <x:c r="L35" s="40"/>
      <x:c r="M35" s="40"/>
      <x:c r="N35" s="40"/>
      <x:c r="O35" s="40"/>
      <x:c r="P35" s="40"/>
      <x:c r="Q35" s="40"/>
      <x:c r="R35" s="40"/>
      <x:c r="S35" s="40"/>
      <x:c r="T35" s="40"/>
      <x:c r="U35" s="40"/>
      <x:c r="V35" s="40"/>
      <x:c r="W35" s="40"/>
      <x:c r="X35" s="40"/>
      <x:c r="Y35" s="40"/>
      <x:c r="Z35" s="40"/>
      <x:c r="AA35" s="40"/>
      <x:c r="AB35" s="40"/>
      <x:c r="AC35" s="40"/>
      <x:c r="AD35" s="40"/>
      <x:c r="AE35" s="40"/>
      <x:c r="AF35" s="40"/>
      <x:c r="AG35" s="40"/>
      <x:c r="AH35" s="40"/>
      <x:c r="AI35" s="40"/>
      <x:c r="AJ35" s="40"/>
      <x:c r="AK35" s="40"/>
      <x:c r="AL35" s="40"/>
      <x:c r="AM35" s="40"/>
      <x:c r="AN35" s="40"/>
      <x:c r="AO35" s="40"/>
      <x:c r="AP35" s="40"/>
      <x:c r="AQ35" s="40"/>
      <x:c r="AR35" s="40"/>
      <x:c r="AS35" s="40"/>
      <x:c r="AT35" s="40"/>
      <x:c r="AU35" s="40"/>
      <x:c r="AV35" s="40"/>
      <x:c r="AW35" s="40"/>
      <x:c r="AX35" s="40"/>
      <x:c r="AY35" s="40"/>
      <x:c r="AZ35" s="40"/>
      <x:c r="BA35" s="40"/>
      <x:c r="BB35" s="40"/>
      <x:c r="BC35" s="40"/>
      <x:c r="BD35" s="40"/>
      <x:c r="BE35" s="40"/>
      <x:c r="BF35" s="40"/>
      <x:c r="BG35" s="40"/>
      <x:c r="BH35" s="40"/>
      <x:c r="BI35" s="40"/>
      <x:c r="BJ35" s="40"/>
      <x:c r="BK35" s="40"/>
      <x:c r="BL35" s="40"/>
      <x:c r="BM35" s="40"/>
      <x:c r="BN35" s="40"/>
    </x:row>
    <x:row r="36" s="50" customFormat="1" ht="18">
      <x:c r="A36" s="40"/>
      <x:c r="B36" s="45"/>
      <x:c r="C36" s="45"/>
      <x:c r="D36" s="46"/>
      <x:c r="E36" s="81"/>
      <x:c r="F36" s="81"/>
      <x:c r="G36" s="47"/>
      <x:c r="H36" s="48"/>
      <x:c r="I36" s="49" t="str">
        <x:f t="shared" si="4"/>
        <x:v> - </x:v>
      </x:c>
      <x:c r="J36" s="76"/>
      <x:c r="K36" s="40"/>
      <x:c r="L36" s="40"/>
      <x:c r="M36" s="40"/>
      <x:c r="N36" s="40"/>
      <x:c r="O36" s="40"/>
      <x:c r="P36" s="40"/>
      <x:c r="Q36" s="40"/>
      <x:c r="R36" s="40"/>
      <x:c r="S36" s="40"/>
      <x:c r="T36" s="40"/>
      <x:c r="U36" s="40"/>
      <x:c r="V36" s="40"/>
      <x:c r="W36" s="40"/>
      <x:c r="X36" s="40"/>
      <x:c r="Y36" s="40"/>
      <x:c r="Z36" s="40"/>
      <x:c r="AA36" s="40"/>
      <x:c r="AB36" s="40"/>
      <x:c r="AC36" s="40"/>
      <x:c r="AD36" s="40"/>
      <x:c r="AE36" s="40"/>
      <x:c r="AF36" s="40"/>
      <x:c r="AG36" s="40"/>
      <x:c r="AH36" s="40"/>
      <x:c r="AI36" s="40"/>
      <x:c r="AJ36" s="40"/>
      <x:c r="AK36" s="40"/>
      <x:c r="AL36" s="40"/>
      <x:c r="AM36" s="40"/>
      <x:c r="AN36" s="40"/>
      <x:c r="AO36" s="40"/>
      <x:c r="AP36" s="40"/>
      <x:c r="AQ36" s="40"/>
      <x:c r="AR36" s="40"/>
      <x:c r="AS36" s="40"/>
      <x:c r="AT36" s="40"/>
      <x:c r="AU36" s="40"/>
      <x:c r="AV36" s="40"/>
      <x:c r="AW36" s="40"/>
      <x:c r="AX36" s="40"/>
      <x:c r="AY36" s="40"/>
      <x:c r="AZ36" s="40"/>
      <x:c r="BA36" s="40"/>
      <x:c r="BB36" s="40"/>
      <x:c r="BC36" s="40"/>
      <x:c r="BD36" s="40"/>
      <x:c r="BE36" s="40"/>
      <x:c r="BF36" s="40"/>
      <x:c r="BG36" s="40"/>
      <x:c r="BH36" s="40"/>
      <x:c r="BI36" s="40"/>
      <x:c r="BJ36" s="40"/>
      <x:c r="BK36" s="40"/>
      <x:c r="BL36" s="40"/>
      <x:c r="BM36" s="40"/>
      <x:c r="BN36" s="40"/>
    </x:row>
    <x:row r="37" s="50" customFormat="1" ht="18">
      <x:c r="A37" s="40"/>
      <x:c r="B37" s="45"/>
      <x:c r="C37" s="45"/>
      <x:c r="D37" s="46"/>
      <x:c r="E37" s="81"/>
      <x:c r="F37" s="81"/>
      <x:c r="G37" s="47"/>
      <x:c r="H37" s="48"/>
      <x:c r="I37" s="49" t="str">
        <x:f t="shared" si="4"/>
        <x:v> - </x:v>
      </x:c>
      <x:c r="J37" s="76"/>
      <x:c r="K37" s="40"/>
      <x:c r="L37" s="40"/>
      <x:c r="M37" s="40"/>
      <x:c r="N37" s="40"/>
      <x:c r="O37" s="40"/>
      <x:c r="P37" s="40"/>
      <x:c r="Q37" s="40"/>
      <x:c r="R37" s="40"/>
      <x:c r="S37" s="40"/>
      <x:c r="T37" s="40"/>
      <x:c r="U37" s="40"/>
      <x:c r="V37" s="40"/>
      <x:c r="W37" s="40"/>
      <x:c r="X37" s="40"/>
      <x:c r="Y37" s="40"/>
      <x:c r="Z37" s="40"/>
      <x:c r="AA37" s="40"/>
      <x:c r="AB37" s="40"/>
      <x:c r="AC37" s="40"/>
      <x:c r="AD37" s="40"/>
      <x:c r="AE37" s="40"/>
      <x:c r="AF37" s="40"/>
      <x:c r="AG37" s="40"/>
      <x:c r="AH37" s="40"/>
      <x:c r="AI37" s="40"/>
      <x:c r="AJ37" s="40"/>
      <x:c r="AK37" s="40"/>
      <x:c r="AL37" s="40"/>
      <x:c r="AM37" s="40"/>
      <x:c r="AN37" s="40"/>
      <x:c r="AO37" s="40"/>
      <x:c r="AP37" s="40"/>
      <x:c r="AQ37" s="40"/>
      <x:c r="AR37" s="40"/>
      <x:c r="AS37" s="40"/>
      <x:c r="AT37" s="40"/>
      <x:c r="AU37" s="40"/>
      <x:c r="AV37" s="40"/>
      <x:c r="AW37" s="40"/>
      <x:c r="AX37" s="40"/>
      <x:c r="AY37" s="40"/>
      <x:c r="AZ37" s="40"/>
      <x:c r="BA37" s="40"/>
      <x:c r="BB37" s="40"/>
      <x:c r="BC37" s="40"/>
      <x:c r="BD37" s="40"/>
      <x:c r="BE37" s="40"/>
      <x:c r="BF37" s="40"/>
      <x:c r="BG37" s="40"/>
      <x:c r="BH37" s="40"/>
      <x:c r="BI37" s="40"/>
      <x:c r="BJ37" s="40"/>
      <x:c r="BK37" s="40"/>
      <x:c r="BL37" s="40"/>
      <x:c r="BM37" s="40"/>
      <x:c r="BN37" s="40"/>
    </x:row>
    <x:row r="38" s="55" customFormat="1" ht="18">
      <x:c r="A38" s="51" t="s">
        <x:v>19</x:v>
      </x:c>
      <x:c r="B38" s="52"/>
      <x:c r="C38" s="53"/>
      <x:c r="D38" s="53"/>
      <x:c r="E38" s="82"/>
      <x:c r="F38" s="82"/>
      <x:c r="G38" s="54"/>
      <x:c r="H38" s="54"/>
      <x:c r="I38" s="54"/>
      <x:c r="J38" s="77"/>
      <x:c r="K38" s="40"/>
      <x:c r="L38" s="40"/>
      <x:c r="M38" s="40"/>
      <x:c r="N38" s="40"/>
      <x:c r="O38" s="40"/>
      <x:c r="P38" s="40"/>
      <x:c r="Q38" s="40"/>
      <x:c r="R38" s="40"/>
      <x:c r="S38" s="40"/>
      <x:c r="T38" s="40"/>
      <x:c r="U38" s="40"/>
      <x:c r="V38" s="40"/>
      <x:c r="W38" s="40"/>
      <x:c r="X38" s="40"/>
      <x:c r="Y38" s="40"/>
      <x:c r="Z38" s="40"/>
      <x:c r="AA38" s="40"/>
      <x:c r="AB38" s="40"/>
      <x:c r="AC38" s="40"/>
      <x:c r="AD38" s="40"/>
      <x:c r="AE38" s="40"/>
      <x:c r="AF38" s="40"/>
      <x:c r="AG38" s="40"/>
      <x:c r="AH38" s="40"/>
      <x:c r="AI38" s="40"/>
      <x:c r="AJ38" s="40"/>
      <x:c r="AK38" s="40"/>
      <x:c r="AL38" s="40"/>
      <x:c r="AM38" s="40"/>
      <x:c r="AN38" s="40"/>
      <x:c r="AO38" s="40"/>
      <x:c r="AP38" s="40"/>
      <x:c r="AQ38" s="40"/>
      <x:c r="AR38" s="40"/>
      <x:c r="AS38" s="40"/>
      <x:c r="AT38" s="40"/>
      <x:c r="AU38" s="40"/>
      <x:c r="AV38" s="40"/>
      <x:c r="AW38" s="40"/>
      <x:c r="AX38" s="40"/>
      <x:c r="AY38" s="40"/>
      <x:c r="AZ38" s="40"/>
      <x:c r="BA38" s="40"/>
      <x:c r="BB38" s="40"/>
      <x:c r="BC38" s="40"/>
      <x:c r="BD38" s="40"/>
      <x:c r="BE38" s="40"/>
      <x:c r="BF38" s="40"/>
      <x:c r="BG38" s="40"/>
      <x:c r="BH38" s="40"/>
      <x:c r="BI38" s="40"/>
      <x:c r="BJ38" s="40"/>
      <x:c r="BK38" s="40"/>
      <x:c r="BL38" s="40"/>
      <x:c r="BM38" s="40"/>
      <x:c r="BN38" s="40"/>
    </x:row>
    <x:row r="39" s="50" customFormat="1" ht="18">
      <x:c r="A39" s="56" t="s">
        <x:v>20</x:v>
      </x:c>
      <x:c r="B39" s="57"/>
      <x:c r="C39" s="57"/>
      <x:c r="D39" s="57"/>
      <x:c r="E39" s="83"/>
      <x:c r="F39" s="83"/>
      <x:c r="G39" s="57"/>
      <x:c r="H39" s="57"/>
      <x:c r="I39" s="57"/>
      <x:c r="J39" s="77"/>
      <x:c r="K39" s="40"/>
      <x:c r="L39" s="40"/>
      <x:c r="M39" s="40"/>
      <x:c r="N39" s="40"/>
      <x:c r="O39" s="40"/>
      <x:c r="P39" s="40"/>
      <x:c r="Q39" s="40"/>
      <x:c r="R39" s="40"/>
      <x:c r="S39" s="40"/>
      <x:c r="T39" s="40"/>
      <x:c r="U39" s="40"/>
      <x:c r="V39" s="40"/>
      <x:c r="W39" s="40"/>
      <x:c r="X39" s="40"/>
      <x:c r="Y39" s="40"/>
      <x:c r="Z39" s="40"/>
      <x:c r="AA39" s="40"/>
      <x:c r="AB39" s="40"/>
      <x:c r="AC39" s="40"/>
      <x:c r="AD39" s="40"/>
      <x:c r="AE39" s="40"/>
      <x:c r="AF39" s="40"/>
      <x:c r="AG39" s="40"/>
      <x:c r="AH39" s="40"/>
      <x:c r="AI39" s="40"/>
      <x:c r="AJ39" s="40"/>
      <x:c r="AK39" s="40"/>
      <x:c r="AL39" s="40"/>
      <x:c r="AM39" s="40"/>
      <x:c r="AN39" s="40"/>
      <x:c r="AO39" s="40"/>
      <x:c r="AP39" s="40"/>
      <x:c r="AQ39" s="40"/>
      <x:c r="AR39" s="40"/>
      <x:c r="AS39" s="40"/>
      <x:c r="AT39" s="40"/>
      <x:c r="AU39" s="40"/>
      <x:c r="AV39" s="40"/>
      <x:c r="AW39" s="40"/>
      <x:c r="AX39" s="40"/>
      <x:c r="AY39" s="40"/>
      <x:c r="AZ39" s="40"/>
      <x:c r="BA39" s="40"/>
      <x:c r="BB39" s="40"/>
      <x:c r="BC39" s="40"/>
      <x:c r="BD39" s="40"/>
      <x:c r="BE39" s="40"/>
      <x:c r="BF39" s="40"/>
      <x:c r="BG39" s="40"/>
      <x:c r="BH39" s="40"/>
      <x:c r="BI39" s="40"/>
      <x:c r="BJ39" s="40"/>
      <x:c r="BK39" s="40"/>
      <x:c r="BL39" s="40"/>
      <x:c r="BM39" s="40"/>
      <x:c r="BN39" s="40"/>
    </x:row>
    <x:row r="40" s="50" customFormat="1" ht="18">
      <x:c r="A40" s="102" t="str">
        <x:f>IF(ISERROR(VALUE(SUBSTITUTE(prevWBS,".",""))),"1",IF(ISERROR(FIND("`",SUBSTITUTE(prevWBS,".","`",1))),TEXT(VALUE(prevWBS)+1,"#"),TEXT(VALUE(LEFT(prevWBS,FIND("`",SUBSTITUTE(prevWBS,".","`",1))-1))+1,"#")))</x:f>
        <x:v>1</x:v>
      </x:c>
      <x:c r="B40" s="103" t="s">
        <x:v>21</x:v>
      </x:c>
      <x:c r="C40" s="58"/>
      <x:c r="D40" s="59"/>
      <x:c r="E40" s="78"/>
      <x:c r="F40" s="79" t="str">
        <x:f t="shared" ref="F40:F43" si="7">IF(ISBLANK(E40)," - ",IF(G40=0,E40,E40+G40-1))</x:f>
        <x:v> - </x:v>
      </x:c>
      <x:c r="G40" s="42"/>
      <x:c r="H40" s="43"/>
      <x:c r="I40" s="44" t="str">
        <x:f>IF(OR(F40=0,E40=0)," - ",NETWORKDAYS(E40,F40))</x:f>
        <x:v> - </x:v>
      </x:c>
      <x:c r="J40" s="74"/>
      <x:c r="K40" s="40"/>
      <x:c r="L40" s="40"/>
      <x:c r="M40" s="40"/>
      <x:c r="N40" s="40"/>
      <x:c r="O40" s="40"/>
      <x:c r="P40" s="40"/>
      <x:c r="Q40" s="40"/>
      <x:c r="R40" s="40"/>
      <x:c r="S40" s="40"/>
      <x:c r="T40" s="40"/>
      <x:c r="U40" s="40"/>
      <x:c r="V40" s="40"/>
      <x:c r="W40" s="40"/>
      <x:c r="X40" s="40"/>
      <x:c r="Y40" s="40"/>
      <x:c r="Z40" s="40"/>
      <x:c r="AA40" s="40"/>
      <x:c r="AB40" s="40"/>
      <x:c r="AC40" s="40"/>
      <x:c r="AD40" s="40"/>
      <x:c r="AE40" s="40"/>
      <x:c r="AF40" s="40"/>
      <x:c r="AG40" s="40"/>
      <x:c r="AH40" s="40"/>
      <x:c r="AI40" s="40"/>
      <x:c r="AJ40" s="40"/>
      <x:c r="AK40" s="40"/>
      <x:c r="AL40" s="40"/>
      <x:c r="AM40" s="40"/>
      <x:c r="AN40" s="40"/>
      <x:c r="AO40" s="40"/>
      <x:c r="AP40" s="40"/>
      <x:c r="AQ40" s="40"/>
      <x:c r="AR40" s="40"/>
      <x:c r="AS40" s="40"/>
      <x:c r="AT40" s="40"/>
      <x:c r="AU40" s="40"/>
      <x:c r="AV40" s="40"/>
      <x:c r="AW40" s="40"/>
      <x:c r="AX40" s="40"/>
      <x:c r="AY40" s="40"/>
      <x:c r="AZ40" s="40"/>
      <x:c r="BA40" s="40"/>
      <x:c r="BB40" s="40"/>
      <x:c r="BC40" s="40"/>
      <x:c r="BD40" s="40"/>
      <x:c r="BE40" s="40"/>
      <x:c r="BF40" s="40"/>
      <x:c r="BG40" s="40"/>
      <x:c r="BH40" s="40"/>
      <x:c r="BI40" s="40"/>
      <x:c r="BJ40" s="40"/>
      <x:c r="BK40" s="40"/>
      <x:c r="BL40" s="40"/>
      <x:c r="BM40" s="40"/>
      <x:c r="BN40" s="40"/>
    </x:row>
    <x:row r="41" s="50" customFormat="1" ht="18">
      <x:c r="A41" s="40" t="str">
        <x:f>IF(ISERROR(VALUE(SUBSTITUTE(prevWBS,".",""))),"0.1",IF(ISERROR(FIND("`",SUBSTITUTE(prevWBS,".","`",1))),prevWBS&amp;".1",LEFT(prevWBS,FIND("`",SUBSTITUTE(prevWBS,".","`",1)))&amp;IF(ISERROR(FIND("`",SUBSTITUTE(prevWBS,".","`",2))),VALUE(RIGHT(prevWBS,LEN(prevWBS)-FIND("`",SUBSTITUTE(prevWBS,".","`",1))))+1,VALUE(MID(prevWBS,FIND("`",SUBSTITUTE(prevWBS,".","`",1))+1,(FIND("`",SUBSTITUTE(prevWBS,".","`",2))-FIND("`",SUBSTITUTE(prevWBS,".","`",1))-1)))+1)))</x:f>
        <x:v>1.1</x:v>
      </x:c>
      <x:c r="B41" s="60" t="s">
        <x:v>22</x:v>
      </x:c>
      <x:c r="C41" s="60"/>
      <x:c r="D41" s="59"/>
      <x:c r="E41" s="78"/>
      <x:c r="F41" s="79" t="str">
        <x:f t="shared" si="7"/>
        <x:v> - </x:v>
      </x:c>
      <x:c r="G41" s="42"/>
      <x:c r="H41" s="43"/>
      <x:c r="I41" s="44" t="str">
        <x:f t="shared" ref="I41:I43" si="8">IF(OR(F41=0,E41=0)," - ",NETWORKDAYS(E41,F41))</x:f>
        <x:v> - </x:v>
      </x:c>
      <x:c r="J41" s="74"/>
      <x:c r="K41" s="40"/>
      <x:c r="L41" s="40"/>
      <x:c r="M41" s="40"/>
      <x:c r="N41" s="40"/>
      <x:c r="O41" s="40"/>
      <x:c r="P41" s="40"/>
      <x:c r="Q41" s="40"/>
      <x:c r="R41" s="40"/>
      <x:c r="S41" s="40"/>
      <x:c r="T41" s="40"/>
      <x:c r="U41" s="40"/>
      <x:c r="V41" s="40"/>
      <x:c r="W41" s="40"/>
      <x:c r="X41" s="40"/>
      <x:c r="Y41" s="40"/>
      <x:c r="Z41" s="40"/>
      <x:c r="AA41" s="40"/>
      <x:c r="AB41" s="40"/>
      <x:c r="AC41" s="40"/>
      <x:c r="AD41" s="40"/>
      <x:c r="AE41" s="40"/>
      <x:c r="AF41" s="40"/>
      <x:c r="AG41" s="40"/>
      <x:c r="AH41" s="40"/>
      <x:c r="AI41" s="40"/>
      <x:c r="AJ41" s="40"/>
      <x:c r="AK41" s="40"/>
      <x:c r="AL41" s="40"/>
      <x:c r="AM41" s="40"/>
      <x:c r="AN41" s="40"/>
      <x:c r="AO41" s="40"/>
      <x:c r="AP41" s="40"/>
      <x:c r="AQ41" s="40"/>
      <x:c r="AR41" s="40"/>
      <x:c r="AS41" s="40"/>
      <x:c r="AT41" s="40"/>
      <x:c r="AU41" s="40"/>
      <x:c r="AV41" s="40"/>
      <x:c r="AW41" s="40"/>
      <x:c r="AX41" s="40"/>
      <x:c r="AY41" s="40"/>
      <x:c r="AZ41" s="40"/>
      <x:c r="BA41" s="40"/>
      <x:c r="BB41" s="40"/>
      <x:c r="BC41" s="40"/>
      <x:c r="BD41" s="40"/>
      <x:c r="BE41" s="40"/>
      <x:c r="BF41" s="40"/>
      <x:c r="BG41" s="40"/>
      <x:c r="BH41" s="40"/>
      <x:c r="BI41" s="40"/>
      <x:c r="BJ41" s="40"/>
      <x:c r="BK41" s="40"/>
      <x:c r="BL41" s="40"/>
      <x:c r="BM41" s="40"/>
      <x:c r="BN41" s="40"/>
    </x:row>
    <x:row r="42" s="50" customFormat="1" ht="18">
      <x:c r="A42" s="40" t="str">
        <x:f>IF(ISERROR(VALUE(SUBSTITUTE(prevWBS,".",""))),"0.0.1",IF(ISERROR(FIND("`",SUBSTITUTE(prevWBS,".","`",2))),prevWBS&amp;".1",LEFT(prevWBS,FIND("`",SUBSTITUTE(prevWBS,".","`",2)))&amp;IF(ISERROR(FIND("`",SUBSTITUTE(prevWBS,".","`",3))),VALUE(RIGHT(prevWBS,LEN(prevWBS)-FIND("`",SUBSTITUTE(prevWBS,".","`",2))))+1,VALUE(MID(prevWBS,FIND("`",SUBSTITUTE(prevWBS,".","`",2))+1,(FIND("`",SUBSTITUTE(prevWBS,".","`",3))-FIND("`",SUBSTITUTE(prevWBS,".","`",2))-1)))+1)))</x:f>
        <x:v>1.1.1</x:v>
      </x:c>
      <x:c r="B42" s="61" t="s">
        <x:v>23</x:v>
      </x:c>
      <x:c r="C42" s="60"/>
      <x:c r="D42" s="59"/>
      <x:c r="E42" s="78"/>
      <x:c r="F42" s="79" t="str">
        <x:f t="shared" si="7"/>
        <x:v> - </x:v>
      </x:c>
      <x:c r="G42" s="42"/>
      <x:c r="H42" s="43"/>
      <x:c r="I42" s="44" t="str">
        <x:f t="shared" si="8"/>
        <x:v> - </x:v>
      </x:c>
      <x:c r="J42" s="74"/>
      <x:c r="K42" s="40"/>
      <x:c r="L42" s="40"/>
      <x:c r="M42" s="40"/>
      <x:c r="N42" s="40"/>
      <x:c r="O42" s="40"/>
      <x:c r="P42" s="40"/>
      <x:c r="Q42" s="40"/>
      <x:c r="R42" s="40"/>
      <x:c r="S42" s="40"/>
      <x:c r="T42" s="40"/>
      <x:c r="U42" s="40"/>
      <x:c r="V42" s="40"/>
      <x:c r="W42" s="40"/>
      <x:c r="X42" s="40"/>
      <x:c r="Y42" s="40"/>
      <x:c r="Z42" s="40"/>
      <x:c r="AA42" s="40"/>
      <x:c r="AB42" s="40"/>
      <x:c r="AC42" s="40"/>
      <x:c r="AD42" s="40"/>
      <x:c r="AE42" s="40"/>
      <x:c r="AF42" s="40"/>
      <x:c r="AG42" s="40"/>
      <x:c r="AH42" s="40"/>
      <x:c r="AI42" s="40"/>
      <x:c r="AJ42" s="40"/>
      <x:c r="AK42" s="40"/>
      <x:c r="AL42" s="40"/>
      <x:c r="AM42" s="40"/>
      <x:c r="AN42" s="40"/>
      <x:c r="AO42" s="40"/>
      <x:c r="AP42" s="40"/>
      <x:c r="AQ42" s="40"/>
      <x:c r="AR42" s="40"/>
      <x:c r="AS42" s="40"/>
      <x:c r="AT42" s="40"/>
      <x:c r="AU42" s="40"/>
      <x:c r="AV42" s="40"/>
      <x:c r="AW42" s="40"/>
      <x:c r="AX42" s="40"/>
      <x:c r="AY42" s="40"/>
      <x:c r="AZ42" s="40"/>
      <x:c r="BA42" s="40"/>
      <x:c r="BB42" s="40"/>
      <x:c r="BC42" s="40"/>
      <x:c r="BD42" s="40"/>
      <x:c r="BE42" s="40"/>
      <x:c r="BF42" s="40"/>
      <x:c r="BG42" s="40"/>
      <x:c r="BH42" s="40"/>
      <x:c r="BI42" s="40"/>
      <x:c r="BJ42" s="40"/>
      <x:c r="BK42" s="40"/>
      <x:c r="BL42" s="40"/>
      <x:c r="BM42" s="40"/>
      <x:c r="BN42" s="40"/>
    </x:row>
    <x:row r="43" s="50" customFormat="1" ht="18">
      <x:c r="A43" s="40" t="str">
        <x:f>IF(ISERROR(VALUE(SUBSTITUTE(prevWBS,".",""))),"0.0.0.1",IF(ISERROR(FIND("`",SUBSTITUTE(prevWBS,".","`",3))),prevWBS&amp;".1",LEFT(prevWBS,FIND("`",SUBSTITUTE(prevWBS,".","`",3)))&amp;IF(ISERROR(FIND("`",SUBSTITUTE(prevWBS,".","`",4))),VALUE(RIGHT(prevWBS,LEN(prevWBS)-FIND("`",SUBSTITUTE(prevWBS,".","`",3))))+1,VALUE(MID(prevWBS,FIND("`",SUBSTITUTE(prevWBS,".","`",3))+1,(FIND("`",SUBSTITUTE(prevWBS,".","`",4))-FIND("`",SUBSTITUTE(prevWBS,".","`",3))-1)))+1)))</x:f>
        <x:v>1.1.1.1</x:v>
      </x:c>
      <x:c r="B43" s="61" t="s">
        <x:v>24</x:v>
      </x:c>
      <x:c r="C43" s="60"/>
      <x:c r="D43" s="59"/>
      <x:c r="E43" s="78"/>
      <x:c r="F43" s="79" t="str">
        <x:f t="shared" si="7"/>
        <x:v> - </x:v>
      </x:c>
      <x:c r="G43" s="42"/>
      <x:c r="H43" s="43"/>
      <x:c r="I43" s="44" t="str">
        <x:f t="shared" si="8"/>
        <x:v> - </x:v>
      </x:c>
      <x:c r="J43" s="74"/>
      <x:c r="K43" s="40"/>
      <x:c r="L43" s="40"/>
      <x:c r="M43" s="40"/>
      <x:c r="N43" s="40"/>
      <x:c r="O43" s="40"/>
      <x:c r="P43" s="40"/>
      <x:c r="Q43" s="40"/>
      <x:c r="R43" s="40"/>
      <x:c r="S43" s="40"/>
      <x:c r="T43" s="40"/>
      <x:c r="U43" s="40"/>
      <x:c r="V43" s="40"/>
      <x:c r="W43" s="40"/>
      <x:c r="X43" s="40"/>
      <x:c r="Y43" s="40"/>
      <x:c r="Z43" s="40"/>
      <x:c r="AA43" s="40"/>
      <x:c r="AB43" s="40"/>
      <x:c r="AC43" s="40"/>
      <x:c r="AD43" s="40"/>
      <x:c r="AE43" s="40"/>
      <x:c r="AF43" s="40"/>
      <x:c r="AG43" s="40"/>
      <x:c r="AH43" s="40"/>
      <x:c r="AI43" s="40"/>
      <x:c r="AJ43" s="40"/>
      <x:c r="AK43" s="40"/>
      <x:c r="AL43" s="40"/>
      <x:c r="AM43" s="40"/>
      <x:c r="AN43" s="40"/>
      <x:c r="AO43" s="40"/>
      <x:c r="AP43" s="40"/>
      <x:c r="AQ43" s="40"/>
      <x:c r="AR43" s="40"/>
      <x:c r="AS43" s="40"/>
      <x:c r="AT43" s="40"/>
      <x:c r="AU43" s="40"/>
      <x:c r="AV43" s="40"/>
      <x:c r="AW43" s="40"/>
      <x:c r="AX43" s="40"/>
      <x:c r="AY43" s="40"/>
      <x:c r="AZ43" s="40"/>
      <x:c r="BA43" s="40"/>
      <x:c r="BB43" s="40"/>
      <x:c r="BC43" s="40"/>
      <x:c r="BD43" s="40"/>
      <x:c r="BE43" s="40"/>
      <x:c r="BF43" s="40"/>
      <x:c r="BG43" s="40"/>
      <x:c r="BH43" s="40"/>
      <x:c r="BI43" s="40"/>
      <x:c r="BJ43" s="40"/>
      <x:c r="BK43" s="40"/>
      <x:c r="BL43" s="40"/>
      <x:c r="BM43" s="40"/>
      <x:c r="BN43" s="40"/>
    </x:row>
    <x:row r="44" s="19" customFormat="1">
      <x:c r="A44" s="130" t="str">
        <x:f>HYPERLINK("https://vertex42.link/HowToCreateAGanttChart","► Watch How to Create a Gantt Chart in Excel")</x:f>
        <x:v>► Watch How to Create a Gantt Chart in Excel</x:v>
      </x:c>
    </x:row>
  </x:sheetData>
  <x:mergeCells>
    <x:mergeCell ref="AF4:AL4"/>
    <x:mergeCell ref="AF5:AL5"/>
    <x:mergeCell ref="BH4:BN4"/>
    <x:mergeCell ref="BH5:BN5"/>
    <x:mergeCell ref="AM5:AS5"/>
    <x:mergeCell ref="AT4:AZ4"/>
    <x:mergeCell ref="AT5:AZ5"/>
    <x:mergeCell ref="AM4:AS4"/>
    <x:mergeCell ref="BA4:BG4"/>
    <x:mergeCell ref="BA5:BG5"/>
    <x:mergeCell ref="K1:AE1"/>
    <x:mergeCell ref="C5:E5"/>
    <x:mergeCell ref="R4:X4"/>
    <x:mergeCell ref="K4:Q4"/>
    <x:mergeCell ref="C4:E4"/>
    <x:mergeCell ref="R5:X5"/>
    <x:mergeCell ref="K5:Q5"/>
    <x:mergeCell ref="Y4:AE4"/>
    <x:mergeCell ref="Y5:AE5"/>
  </x:mergeCells>
  <x:conditionalFormatting sqref="H8:H43">
    <x:cfRule type="dataBar" priority="10">
      <x:dataBar minLength="0" maxLength="100">
        <x:cfvo type="num" val="0"/>
        <x:cfvo type="num" val="1"/>
        <x:color theme="0" tint="-0.34999"/>
      </x:dataBar>
      <x:extLst>
        <x:ext xmlns:x14="http://schemas.microsoft.com/office/spreadsheetml/2009/9/main" uri="{B025F937-C7B1-47D3-B67F-A62EFF666E3E}">
          <x14:id>{0A58A75E-4698-465A-8593-F06B91A3A900}</x14:id>
        </x:ext>
      </x:extLst>
    </x:cfRule>
  </x:conditionalFormatting>
  <x:conditionalFormatting sqref="K6:BN7">
    <x:cfRule type="expression" dxfId="3" priority="53">
      <x:formula>K$6=TODAY()</x:formula>
    </x:cfRule>
  </x:conditionalFormatting>
  <x:conditionalFormatting sqref="K6:BN43">
    <x:cfRule type="expression" dxfId="2" priority="16">
      <x:formula>K$6=TODAY()</x:formula>
    </x:cfRule>
  </x:conditionalFormatting>
  <x:conditionalFormatting sqref="K8:BN43">
    <x:cfRule type="expression" dxfId="1" priority="56">
      <x:formula>AND($E8&lt;=K$6,ROUNDDOWN(($F8-$E8+1)*$H8,0)+$E8-1&gt;=K$6)</x:formula>
    </x:cfRule>
    <x:cfRule type="expression" dxfId="0" priority="57">
      <x:formula>AND(NOT(ISBLANK($E8)),$E8&lt;=K$6,$F8&gt;=K$6)</x:formula>
    </x:cfRule>
  </x:conditionalFormatting>
  <x:dataValidations count="1">
    <x:dataValidation allowBlank="1" showInputMessage="1" promptTitle="Display Week" prompt="Enter the week number to display first in the Gantt Chart. The weeks are numbered starting from the week containing the Project Start Date." sqref="H4"/>
  </x:dataValidations>
  <x:pageMargins left="0.7" right="0.7" top="0.75" bottom="0.75" header="0.3" footer="0.3"/>
  <x:drawing xmlns:r="http://schemas.openxmlformats.org/officeDocument/2006/relationships" r:id="R7cb2ea696813495c"/>
  <x:legacyDrawing xmlns:r="http://schemas.openxmlformats.org/officeDocument/2006/relationships" r:id="Rd22a04e0c61a472d"/>
  <x:extLst>
    <x:ext xmlns:x14="http://schemas.microsoft.com/office/spreadsheetml/2009/9/main" xmlns:xm="http://schemas.microsoft.com/office/excel/2006/main" uri="{78C0D931-6437-407d-A8EE-F0AAD7539E65}">
      <x14:conditionalFormattings>
        <x14:conditionalFormatting>
          <x14:cfRule type="dataBar" priority="10" id="{0A58A75E-4698-465A-8593-F06B91A3A900}">
            <x14:dataBar minLength="0" maxLength="100" gradient="0">
              <x14:cfvo type="num">
                <xm:f>0</xm:f>
              </x14:cfvo>
              <x14:cfvo type="num">
                <xm:f>1</xm:f>
              </x14:cfvo>
              <x14:fillColor theme="0" tint="-0.34999"/>
              <x14:negativeFillColor rgb="FFFF0000"/>
              <x14:axisColor rgb="FF000000"/>
            </x14:dataBar>
          </x14:cfRule>
          <xm:sqref>H8:H43</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2.75"/>
  <x:cols>
    <x:col min="1" max="1" width="5.5703125" customWidth="1"/>
    <x:col min="2" max="2" width="37.7109375" customWidth="1"/>
    <x:col min="3" max="3" width="55.140625" customWidth="1"/>
    <x:col min="4" max="7" width="8.85546875" customWidth="0"/>
  </x:cols>
  <x:sheetData>
    <x:row r="1" ht="30" customHeight="1">
      <x:c r="A1" s="21" t="s">
        <x:v>25</x:v>
      </x:c>
    </x:row>
    <x:row r="4">
      <x:c r="C4" s="4" t="s">
        <x:v>26</x:v>
      </x:c>
    </x:row>
    <x:row r="5">
      <x:c r="C5" s="2" t="s">
        <x:v>27</x:v>
      </x:c>
    </x:row>
    <x:row r="6">
      <x:c r="C6" s="2"/>
    </x:row>
    <x:row r="7" ht="18">
      <x:c r="C7" s="13" t="s">
        <x:v>28</x:v>
      </x:c>
    </x:row>
    <x:row r="8">
      <x:c r="C8" s="14" t="s">
        <x:v>29</x:v>
      </x:c>
    </x:row>
    <x:row r="10">
      <x:c r="C10" s="2" t="s">
        <x:v>30</x:v>
      </x:c>
    </x:row>
    <x:row r="11">
      <x:c r="C11" s="2" t="s">
        <x:v>31</x:v>
      </x:c>
    </x:row>
    <x:row r="13" ht="18">
      <x:c r="C13" s="13" t="s">
        <x:v>32</x:v>
      </x:c>
    </x:row>
    <x:row r="16" ht="15.75">
      <x:c r="A16" s="16" t="s">
        <x:v>33</x:v>
      </x:c>
    </x:row>
    <x:row r="18" ht="15">
      <x:c r="B18" s="15" t="s">
        <x:v>34</x:v>
      </x:c>
    </x:row>
    <x:row r="19">
      <x:c r="B19" s="2" t="s">
        <x:v>35</x:v>
      </x:c>
    </x:row>
    <x:row r="20">
      <x:c r="B20" s="2" t="s">
        <x:v>36</x:v>
      </x:c>
    </x:row>
    <x:row r="22" ht="15">
      <x:c r="B22" s="15" t="s">
        <x:v>37</x:v>
      </x:c>
    </x:row>
    <x:row r="23">
      <x:c r="B23" s="2" t="s">
        <x:v>38</x:v>
      </x:c>
    </x:row>
    <x:row r="24">
      <x:c r="B24" s="2" t="s">
        <x:v>39</x:v>
      </x:c>
    </x:row>
    <x:row r="26" ht="15">
      <x:c r="B26" s="15" t="s">
        <x:v>40</x:v>
      </x:c>
    </x:row>
    <x:row r="27">
      <x:c r="B27" s="2" t="s">
        <x:v>41</x:v>
      </x:c>
    </x:row>
    <x:row r="28">
      <x:c r="B28" s="2" t="s">
        <x:v>42</x:v>
      </x:c>
    </x:row>
    <x:row r="29">
      <x:c r="B29" s="2" t="s">
        <x:v>43</x:v>
      </x:c>
    </x:row>
    <x:row r="30">
      <x:c r="B30" t="s">
        <x:v>44</x:v>
      </x:c>
    </x:row>
    <x:row r="31">
      <x:c r="B31" t="s">
        <x:v>45</x:v>
      </x:c>
    </x:row>
    <x:row r="32">
      <x:c r="B32" t="s">
        <x:v>46</x:v>
      </x:c>
    </x:row>
    <x:row r="34" ht="15">
      <x:c r="B34" s="15" t="s">
        <x:v>47</x:v>
      </x:c>
    </x:row>
    <x:row r="35">
      <x:c r="B35" s="2" t="s">
        <x:v>48</x:v>
      </x:c>
    </x:row>
    <x:row r="36">
      <x:c r="B36" s="2" t="s">
        <x:v>49</x:v>
      </x:c>
    </x:row>
    <x:row r="37">
      <x:c r="B37" s="2" t="s">
        <x:v>50</x:v>
      </x:c>
    </x:row>
    <x:row r="39" ht="15">
      <x:c r="B39" s="15" t="s">
        <x:v>51</x:v>
      </x:c>
    </x:row>
    <x:row r="40">
      <x:c r="B40" s="2" t="s">
        <x:v>52</x:v>
      </x:c>
    </x:row>
    <x:row r="42" ht="15">
      <x:c r="B42" s="15" t="s">
        <x:v>53</x:v>
      </x:c>
    </x:row>
    <x:row r="43">
      <x:c r="B43" s="2" t="s">
        <x:v>54</x:v>
      </x:c>
    </x:row>
    <x:row r="44">
      <x:c r="B44" s="2" t="s">
        <x:v>55</x:v>
      </x:c>
    </x:row>
    <x:row r="46" ht="18">
      <x:c r="B46" s="13" t="s">
        <x:v>56</x:v>
      </x:c>
    </x:row>
  </x:sheetData>
  <x:hyperlinks>
    <x:hyperlink xmlns:r="http://schemas.openxmlformats.org/officeDocument/2006/relationships" ref="C7" r:id="R49791f4b508e493d"/>
    <x:hyperlink xmlns:r="http://schemas.openxmlformats.org/officeDocument/2006/relationships" ref="C13" r:id="R5502c833429d4b55"/>
    <x:hyperlink xmlns:r="http://schemas.openxmlformats.org/officeDocument/2006/relationships" ref="B46" r:id="Rb612aa2651694745"/>
  </x:hyperlinks>
  <x:pageMargins left="0.7" right="0.7" top="0.75" bottom="0.75" header="0.3" footer="0.3"/>
  <x:drawing xmlns:r="http://schemas.openxmlformats.org/officeDocument/2006/relationships" r:id="R2054251f5be74fbb"/>
</x:worksheet>
</file>

<file path=xl/worksheets/sheet3.xml><?xml version="1.0" encoding="utf-8"?>
<x:worksheet xmlns:x="http://schemas.openxmlformats.org/spreadsheetml/2006/main">
  <x:sheetViews>
    <x:sheetView showGridLines="0" workbookViewId="0"/>
  </x:sheetViews>
  <x:sheetFormatPr defaultColWidth="8.85546875" defaultRowHeight="12.75"/>
  <x:cols>
    <x:col min="1" max="1" width="5.5703125" style="2" customWidth="1"/>
    <x:col min="2" max="2" width="90.42578125" style="2" customWidth="1"/>
    <x:col min="3" max="3" width="16.42578125" style="2" customWidth="1"/>
    <x:col min="4" max="16384" width="8.85546875" style="2" customWidth="0"/>
  </x:cols>
  <x:sheetData>
    <x:row r="1" ht="30" customHeight="1">
      <x:c r="A1" s="25" t="s">
        <x:v>57</x:v>
      </x:c>
      <x:c r="B1" s="26"/>
    </x:row>
    <x:row r="2" ht="14.25">
      <x:c r="A2" s="110" t="s">
        <x:v>29</x:v>
      </x:c>
      <x:c r="B2" s="3"/>
    </x:row>
    <x:row r="3">
      <x:c r="B3" s="3"/>
    </x:row>
    <x:row r="4" ht="18">
      <x:c r="A4" s="105" t="s">
        <x:v>58</x:v>
      </x:c>
      <x:c r="B4" s="16"/>
    </x:row>
    <x:row r="5" ht="57">
      <x:c r="B5" s="111" t="s">
        <x:v>59</x:v>
      </x:c>
    </x:row>
    <x:row r="7" ht="28.5">
      <x:c r="B7" s="111" t="s">
        <x:v>60</x:v>
      </x:c>
    </x:row>
    <x:row r="9" ht="14.25">
      <x:c r="B9" s="110" t="s">
        <x:v>61</x:v>
      </x:c>
    </x:row>
    <x:row r="11" ht="28.5">
      <x:c r="B11" s="109" t="s">
        <x:v>62</x:v>
      </x:c>
    </x:row>
    <x:row r="13" ht="18">
      <x:c r="A13" s="139" t="s">
        <x:v>63</x:v>
      </x:c>
      <x:c r="B13" s="139"/>
    </x:row>
    <x:row r="15" s="106" customFormat="1" ht="18">
      <x:c r="A15" s="113"/>
      <x:c r="B15" s="112" t="s">
        <x:v>64</x:v>
      </x:c>
    </x:row>
    <x:row r="16" s="106" customFormat="1" ht="18">
      <x:c r="A16" s="113"/>
      <x:c r="B16" s="112" t="s">
        <x:v>65</x:v>
      </x:c>
      <x:c r="C16" s="108" t="s">
        <x:v>66</x:v>
      </x:c>
    </x:row>
    <x:row r="17" ht="18">
      <x:c r="A17" s="114"/>
      <x:c r="B17" s="112" t="s">
        <x:v>67</x:v>
      </x:c>
    </x:row>
    <x:row r="18" ht="18">
      <x:c r="A18" s="114"/>
      <x:c r="B18" s="112" t="s">
        <x:v>68</x:v>
      </x:c>
    </x:row>
    <x:row r="19" ht="18">
      <x:c r="A19" s="114"/>
      <x:c r="B19" s="112" t="s">
        <x:v>69</x:v>
      </x:c>
    </x:row>
    <x:row r="20" s="106" customFormat="1" ht="18">
      <x:c r="A20" s="113"/>
      <x:c r="B20" s="112" t="s">
        <x:v>70</x:v>
      </x:c>
      <x:c r="C20" s="107" t="s">
        <x:v>71</x:v>
      </x:c>
    </x:row>
    <x:row r="21" ht="18">
      <x:c r="A21" s="114"/>
      <x:c r="B21" s="112" t="s">
        <x:v>72</x:v>
      </x:c>
    </x:row>
    <x:row r="22" ht="18">
      <x:c r="A22" s="114"/>
      <x:c r="B22" s="115" t="s">
        <x:v>73</x:v>
      </x:c>
    </x:row>
    <x:row r="23" ht="18">
      <x:c r="A23" s="114"/>
      <x:c r="B23" s="4"/>
    </x:row>
    <x:row r="24" ht="18">
      <x:c r="A24" s="139" t="s">
        <x:v>74</x:v>
      </x:c>
      <x:c r="B24" s="139"/>
    </x:row>
    <x:row r="25" ht="43.5">
      <x:c r="A25" s="114"/>
      <x:c r="B25" s="112" t="s">
        <x:v>75</x:v>
      </x:c>
    </x:row>
    <x:row r="26" ht="18">
      <x:c r="A26" s="114"/>
      <x:c r="B26" s="112"/>
    </x:row>
    <x:row r="27" ht="18">
      <x:c r="A27" s="114"/>
      <x:c r="B27" s="129" t="s">
        <x:v>76</x:v>
      </x:c>
    </x:row>
    <x:row r="28" ht="18">
      <x:c r="A28" s="114"/>
      <x:c r="B28" s="112" t="s">
        <x:v>77</x:v>
      </x:c>
    </x:row>
    <x:row r="29" ht="28.5">
      <x:c r="A29" s="114"/>
      <x:c r="B29" s="112" t="s">
        <x:v>78</x:v>
      </x:c>
    </x:row>
    <x:row r="30" ht="18">
      <x:c r="A30" s="114"/>
      <x:c r="B30" s="112"/>
    </x:row>
    <x:row r="31" ht="18">
      <x:c r="A31" s="114"/>
      <x:c r="B31" s="129" t="s">
        <x:v>79</x:v>
      </x:c>
    </x:row>
    <x:row r="32" ht="18">
      <x:c r="A32" s="114"/>
      <x:c r="B32" s="112" t="s">
        <x:v>80</x:v>
      </x:c>
    </x:row>
    <x:row r="33" ht="18">
      <x:c r="A33" s="114"/>
      <x:c r="B33" s="112" t="s">
        <x:v>81</x:v>
      </x:c>
    </x:row>
    <x:row r="34" ht="18">
      <x:c r="A34" s="114"/>
      <x:c r="B34" s="4"/>
    </x:row>
    <x:row r="35" ht="28.5">
      <x:c r="A35" s="114"/>
      <x:c r="B35" s="112" t="s">
        <x:v>82</x:v>
      </x:c>
    </x:row>
    <x:row r="36" ht="18">
      <x:c r="A36" s="114"/>
      <x:c r="B36" s="116" t="s">
        <x:v>83</x:v>
      </x:c>
    </x:row>
    <x:row r="37" ht="18">
      <x:c r="A37" s="114"/>
      <x:c r="B37" s="4"/>
    </x:row>
    <x:row r="38" ht="18">
      <x:c r="A38" s="139" t="s">
        <x:v>84</x:v>
      </x:c>
      <x:c r="B38" s="139"/>
    </x:row>
    <x:row r="39" ht="28.5">
      <x:c r="B39" s="112" t="s">
        <x:v>85</x:v>
      </x:c>
    </x:row>
    <x:row r="41" ht="14.25">
      <x:c r="B41" s="112" t="s">
        <x:v>86</x:v>
      </x:c>
    </x:row>
    <x:row r="43" ht="28.5">
      <x:c r="B43" s="112" t="s">
        <x:v>87</x:v>
      </x:c>
    </x:row>
    <x:row r="45" ht="28.5">
      <x:c r="B45" s="112" t="s">
        <x:v>88</x:v>
      </x:c>
    </x:row>
    <x:row r="46">
      <x:c r="B46" s="11"/>
    </x:row>
    <x:row r="47" ht="28.5">
      <x:c r="B47" s="112" t="s">
        <x:v>89</x:v>
      </x:c>
    </x:row>
    <x:row r="49" ht="18">
      <x:c r="A49" s="139" t="s">
        <x:v>90</x:v>
      </x:c>
      <x:c r="B49" s="139"/>
    </x:row>
    <x:row r="50" ht="28.5">
      <x:c r="B50" s="112" t="s">
        <x:v>91</x:v>
      </x:c>
    </x:row>
    <x:row r="52" ht="14.25">
      <x:c r="A52" s="117" t="s">
        <x:v>92</x:v>
      </x:c>
      <x:c r="B52" s="112" t="s">
        <x:v>93</x:v>
      </x:c>
    </x:row>
    <x:row r="53" ht="14.25">
      <x:c r="A53" s="117" t="s">
        <x:v>94</x:v>
      </x:c>
      <x:c r="B53" s="112" t="s">
        <x:v>95</x:v>
      </x:c>
    </x:row>
    <x:row r="54" ht="14.25">
      <x:c r="A54" s="117" t="s">
        <x:v>96</x:v>
      </x:c>
      <x:c r="B54" s="112" t="s">
        <x:v>97</x:v>
      </x:c>
    </x:row>
    <x:row r="55" ht="28.5">
      <x:c r="A55" s="109"/>
      <x:c r="B55" s="112" t="s">
        <x:v>98</x:v>
      </x:c>
    </x:row>
    <x:row r="56" ht="28.5">
      <x:c r="A56" s="109"/>
      <x:c r="B56" s="112" t="s">
        <x:v>99</x:v>
      </x:c>
    </x:row>
    <x:row r="57" ht="14.25">
      <x:c r="A57" s="117" t="s">
        <x:v>100</x:v>
      </x:c>
      <x:c r="B57" s="112" t="s">
        <x:v>101</x:v>
      </x:c>
    </x:row>
    <x:row r="58" ht="14.25">
      <x:c r="A58" s="109"/>
      <x:c r="B58" s="112" t="s">
        <x:v>102</x:v>
      </x:c>
    </x:row>
    <x:row r="59" ht="14.25">
      <x:c r="A59" s="109"/>
      <x:c r="B59" s="112" t="s">
        <x:v>103</x:v>
      </x:c>
    </x:row>
    <x:row r="60" ht="14.25">
      <x:c r="A60" s="117" t="s">
        <x:v>104</x:v>
      </x:c>
      <x:c r="B60" s="112" t="s">
        <x:v>105</x:v>
      </x:c>
    </x:row>
    <x:row r="61" ht="28.5">
      <x:c r="A61" s="109"/>
      <x:c r="B61" s="112" t="s">
        <x:v>106</x:v>
      </x:c>
    </x:row>
    <x:row r="62" ht="14.25">
      <x:c r="A62" s="117" t="s">
        <x:v>107</x:v>
      </x:c>
      <x:c r="B62" s="112" t="s">
        <x:v>108</x:v>
      </x:c>
    </x:row>
    <x:row r="63" ht="14.25">
      <x:c r="A63" s="118"/>
      <x:c r="B63" s="112" t="s">
        <x:v>109</x:v>
      </x:c>
    </x:row>
    <x:row r="64">
      <x:c r="B64" s="5"/>
    </x:row>
    <x:row r="65" ht="18">
      <x:c r="A65" s="139" t="s">
        <x:v>110</x:v>
      </x:c>
      <x:c r="B65" s="139"/>
    </x:row>
    <x:row r="66" ht="42.75">
      <x:c r="B66" s="112" t="s">
        <x:v>111</x:v>
      </x:c>
    </x:row>
    <x:row r="68" ht="18">
      <x:c r="A68" s="139" t="s">
        <x:v>112</x:v>
      </x:c>
      <x:c r="B68" s="139"/>
    </x:row>
    <x:row r="69" ht="15">
      <x:c r="A69" s="124" t="s">
        <x:v>113</x:v>
      </x:c>
      <x:c r="B69" s="125" t="s">
        <x:v>114</x:v>
      </x:c>
    </x:row>
    <x:row r="70" ht="28.5">
      <x:c r="A70" s="118"/>
      <x:c r="B70" s="123" t="s">
        <x:v>115</x:v>
      </x:c>
    </x:row>
    <x:row r="71" ht="14.25">
      <x:c r="A71" s="118"/>
      <x:c r="B71" s="119"/>
    </x:row>
    <x:row r="72" ht="15">
      <x:c r="A72" s="124" t="s">
        <x:v>113</x:v>
      </x:c>
      <x:c r="B72" s="125" t="s">
        <x:v>116</x:v>
      </x:c>
    </x:row>
    <x:row r="73" ht="28.5">
      <x:c r="A73" s="118"/>
      <x:c r="B73" s="123" t="s">
        <x:v>117</x:v>
      </x:c>
    </x:row>
    <x:row r="74" ht="14.25">
      <x:c r="A74" s="118"/>
      <x:c r="B74" s="119"/>
    </x:row>
    <x:row r="75" ht="15">
      <x:c r="A75" s="124" t="s">
        <x:v>113</x:v>
      </x:c>
      <x:c r="B75" s="127" t="s">
        <x:v>118</x:v>
      </x:c>
    </x:row>
    <x:row r="76" ht="42.75">
      <x:c r="A76" s="118"/>
      <x:c r="B76" s="111" t="s">
        <x:v>119</x:v>
      </x:c>
    </x:row>
    <x:row r="77" ht="14.25">
      <x:c r="A77" s="118"/>
      <x:c r="B77" s="118"/>
    </x:row>
    <x:row r="78" ht="15">
      <x:c r="A78" s="124" t="s">
        <x:v>113</x:v>
      </x:c>
      <x:c r="B78" s="127" t="s">
        <x:v>120</x:v>
      </x:c>
    </x:row>
    <x:row r="79" ht="28.5">
      <x:c r="A79" s="118"/>
      <x:c r="B79" s="111" t="s">
        <x:v>121</x:v>
      </x:c>
    </x:row>
    <x:row r="80" ht="14.25">
      <x:c r="A80" s="118"/>
      <x:c r="B80" s="118"/>
    </x:row>
    <x:row r="81" ht="15">
      <x:c r="A81" s="124" t="s">
        <x:v>113</x:v>
      </x:c>
      <x:c r="B81" s="127" t="s">
        <x:v>122</x:v>
      </x:c>
    </x:row>
    <x:row r="82" ht="14.25">
      <x:c r="A82" s="118"/>
      <x:c r="B82" s="122" t="s">
        <x:v>123</x:v>
      </x:c>
    </x:row>
    <x:row r="83" ht="14.25">
      <x:c r="A83" s="118"/>
      <x:c r="B83" s="122" t="s">
        <x:v>124</x:v>
      </x:c>
    </x:row>
    <x:row r="84" ht="14.25">
      <x:c r="A84" s="118"/>
      <x:c r="B84" s="122" t="s">
        <x:v>125</x:v>
      </x:c>
    </x:row>
    <x:row r="85" ht="15">
      <x:c r="A85" s="118"/>
      <x:c r="B85" s="121"/>
    </x:row>
    <x:row r="86" ht="15">
      <x:c r="A86" s="124" t="s">
        <x:v>113</x:v>
      </x:c>
      <x:c r="B86" s="127" t="s">
        <x:v>126</x:v>
      </x:c>
    </x:row>
    <x:row r="87" ht="42.75">
      <x:c r="A87" s="118"/>
      <x:c r="B87" s="111" t="s">
        <x:v>127</x:v>
      </x:c>
    </x:row>
    <x:row r="88" ht="14.25">
      <x:c r="A88" s="118"/>
      <x:c r="B88" s="120" t="s">
        <x:v>128</x:v>
      </x:c>
    </x:row>
    <x:row r="89" ht="57">
      <x:c r="A89" s="118"/>
      <x:c r="B89" s="126" t="s">
        <x:v>129</x:v>
      </x:c>
    </x:row>
    <x:row r="90" ht="14.25">
      <x:c r="A90" s="118"/>
      <x:c r="B90" s="118"/>
    </x:row>
    <x:row r="91" ht="15">
      <x:c r="A91" s="124" t="s">
        <x:v>113</x:v>
      </x:c>
      <x:c r="B91" s="127" t="s">
        <x:v>130</x:v>
      </x:c>
    </x:row>
    <x:row r="92" ht="28.5">
      <x:c r="A92" s="109"/>
      <x:c r="B92" s="122" t="s">
        <x:v>131</x:v>
      </x:c>
    </x:row>
    <x:row r="94">
      <x:c r="A94" s="17" t="s">
        <x:v>132</x:v>
      </x:c>
    </x:row>
  </x:sheetData>
  <x:mergeCells>
    <x:mergeCell ref="A38:B38"/>
    <x:mergeCell ref="A49:B49"/>
    <x:mergeCell ref="A68:B68"/>
    <x:mergeCell ref="A13:B13"/>
    <x:mergeCell ref="A65:B65"/>
    <x:mergeCell ref="A24:B24"/>
  </x:mergeCells>
  <x:hyperlinks>
    <x:hyperlink xmlns:r="http://schemas.openxmlformats.org/officeDocument/2006/relationships" ref="A2" r:id="Re626cd4598784304"/>
    <x:hyperlink xmlns:r="http://schemas.openxmlformats.org/officeDocument/2006/relationships" ref="B9" r:id="R17e6e279e0cb4725"/>
    <x:hyperlink xmlns:r="http://schemas.openxmlformats.org/officeDocument/2006/relationships" ref="B36" r:id="R7cca42aba67b4caf"/>
  </x:hyperlinks>
  <x:pageMargins left="0.7" right="0.7" top="0.75" bottom="0.75" header="0.3" footer="0.3"/>
  <x:drawing xmlns:r="http://schemas.openxmlformats.org/officeDocument/2006/relationships" r:id="R8ed27d4b34b94f0f"/>
  <x:legacyDrawing xmlns:r="http://schemas.openxmlformats.org/officeDocument/2006/relationships" r:id="Rf941b4d1d5f34a88"/>
</x:worksheet>
</file>

<file path=xl/worksheets/sheet4.xml><?xml version="1.0" encoding="utf-8"?>
<x:worksheet xmlns:x="http://schemas.openxmlformats.org/spreadsheetml/2006/main">
  <x:sheetViews>
    <x:sheetView showGridLines="0" workbookViewId="0"/>
  </x:sheetViews>
  <x:sheetFormatPr defaultColWidth="8.85546875" defaultRowHeight="12.75"/>
  <x:cols>
    <x:col min="1" max="1" width="5.5703125" style="2" customWidth="1"/>
    <x:col min="2" max="2" width="82.140625" style="2" customWidth="1"/>
  </x:cols>
  <x:sheetData>
    <x:row r="1" ht="30" customHeight="1">
      <x:c r="A1" s="25" t="s">
        <x:v>133</x:v>
      </x:c>
      <x:c r="B1" s="25"/>
    </x:row>
    <x:row r="2" ht="15">
      <x:c r="B2" s="29"/>
    </x:row>
    <x:row r="3" ht="15">
      <x:c r="A3" s="27"/>
      <x:c r="B3" s="22" t="s">
        <x:v>134</x:v>
      </x:c>
      <x:c r="C3" s="28"/>
    </x:row>
    <x:row r="4" ht="14.25">
      <x:c r="A4" s="6"/>
      <x:c r="B4" s="24" t="s">
        <x:v>29</x:v>
      </x:c>
      <x:c r="C4" s="7"/>
    </x:row>
    <x:row r="5" ht="15">
      <x:c r="A5" s="6"/>
      <x:c r="B5" s="8"/>
      <x:c r="C5" s="7"/>
    </x:row>
    <x:row r="6" ht="15.75">
      <x:c r="A6" s="6"/>
      <x:c r="B6" s="9" t="s">
        <x:v>132</x:v>
      </x:c>
      <x:c r="C6" s="7"/>
    </x:row>
    <x:row r="7" ht="15">
      <x:c r="A7" s="6"/>
      <x:c r="B7" s="8"/>
      <x:c r="C7" s="7"/>
    </x:row>
    <x:row r="8" ht="30">
      <x:c r="A8" s="6"/>
      <x:c r="B8" s="8" t="s">
        <x:v>135</x:v>
      </x:c>
      <x:c r="C8" s="7"/>
    </x:row>
    <x:row r="9" ht="15">
      <x:c r="A9" s="6"/>
      <x:c r="B9" s="8"/>
      <x:c r="C9" s="7"/>
    </x:row>
    <x:row r="10" ht="46.5">
      <x:c r="A10" s="6"/>
      <x:c r="B10" s="8" t="s">
        <x:v>136</x:v>
      </x:c>
      <x:c r="C10" s="7"/>
    </x:row>
    <x:row r="11" ht="15">
      <x:c r="A11" s="6"/>
      <x:c r="B11" s="8"/>
      <x:c r="C11" s="7"/>
    </x:row>
    <x:row r="12" ht="45">
      <x:c r="A12" s="6"/>
      <x:c r="B12" s="8" t="s">
        <x:v>137</x:v>
      </x:c>
      <x:c r="C12" s="7"/>
    </x:row>
    <x:row r="13" ht="15">
      <x:c r="A13" s="6"/>
      <x:c r="B13" s="8"/>
      <x:c r="C13" s="7"/>
    </x:row>
    <x:row r="14" ht="60">
      <x:c r="A14" s="6"/>
      <x:c r="B14" s="8" t="s">
        <x:v>138</x:v>
      </x:c>
      <x:c r="C14" s="7"/>
    </x:row>
    <x:row r="15" ht="15">
      <x:c r="A15" s="6"/>
      <x:c r="B15" s="8"/>
      <x:c r="C15" s="7"/>
    </x:row>
    <x:row r="16" ht="30.75">
      <x:c r="A16" s="6"/>
      <x:c r="B16" s="8" t="s">
        <x:v>139</x:v>
      </x:c>
      <x:c r="C16" s="7"/>
    </x:row>
    <x:row r="17" ht="15">
      <x:c r="A17" s="6"/>
      <x:c r="B17" s="8"/>
      <x:c r="C17" s="7"/>
    </x:row>
    <x:row r="18" ht="15.75">
      <x:c r="A18" s="6"/>
      <x:c r="B18" s="9" t="s">
        <x:v>140</x:v>
      </x:c>
      <x:c r="C18" s="7"/>
    </x:row>
    <x:row r="19" ht="15">
      <x:c r="A19" s="6"/>
      <x:c r="B19" s="23" t="s">
        <x:v>141</x:v>
      </x:c>
      <x:c r="C19" s="7"/>
    </x:row>
    <x:row r="20" ht="15">
      <x:c r="A20" s="6"/>
      <x:c r="B20" s="10"/>
      <x:c r="C20" s="7"/>
    </x:row>
    <x:row r="21">
      <x:c r="A21" s="6"/>
      <x:c r="B21" s="6"/>
      <x:c r="C21" s="7"/>
    </x:row>
    <x:row r="22">
      <x:c r="A22" s="6"/>
      <x:c r="B22" s="6"/>
      <x:c r="C22" s="7"/>
    </x:row>
    <x:row r="23">
      <x:c r="A23" s="6"/>
      <x:c r="B23" s="6"/>
      <x:c r="C23" s="7"/>
    </x:row>
    <x:row r="24">
      <x:c r="A24" s="6"/>
      <x:c r="B24" s="6"/>
      <x:c r="C24" s="7"/>
    </x:row>
    <x:row r="25">
      <x:c r="A25" s="6"/>
      <x:c r="B25" s="6"/>
      <x:c r="C25" s="7"/>
    </x:row>
    <x:row r="26">
      <x:c r="A26" s="6"/>
      <x:c r="B26" s="6"/>
      <x:c r="C26" s="7"/>
    </x:row>
    <x:row r="27">
      <x:c r="A27" s="6"/>
      <x:c r="B27" s="6"/>
      <x:c r="C27" s="7"/>
    </x:row>
    <x:row r="28">
      <x:c r="A28" s="6"/>
      <x:c r="B28" s="6"/>
      <x:c r="C28" s="7"/>
    </x:row>
    <x:row r="29">
      <x:c r="A29" s="6"/>
      <x:c r="B29" s="6"/>
      <x:c r="C29" s="7"/>
    </x:row>
  </x:sheetData>
  <x:hyperlinks>
    <x:hyperlink xmlns:r="http://schemas.openxmlformats.org/officeDocument/2006/relationships" ref="B4" r:id="Rdb49b114070d45c8"/>
    <x:hyperlink xmlns:r="http://schemas.openxmlformats.org/officeDocument/2006/relationships" ref="B19" r:id="Raeb0dff46dd04211"/>
  </x:hyperlinks>
  <x:pageMargins left="0.7" right="0.7" top="0.75" bottom="0.75" header="0.3" footer="0.3"/>
  <x:drawing xmlns:r="http://schemas.openxmlformats.org/officeDocument/2006/relationships" r:id="R21fd49c0c69546ab"/>
</x:worksheet>
</file>