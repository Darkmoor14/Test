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6b382c641454a82" /></Relationships>
</file>

<file path=xl/workbook.xml><?xml version="1.0" encoding="utf-8"?>
<x:workbook xmlns:x="http://schemas.openxmlformats.org/spreadsheetml/2006/main">
  <x:sheets>
    <x:sheet xmlns:r="http://schemas.openxmlformats.org/officeDocument/2006/relationships" name="Kanban" sheetId="1" r:id="R692ada836df44f01"/>
    <x:sheet xmlns:r="http://schemas.openxmlformats.org/officeDocument/2006/relationships" name="RecordBook" sheetId="2" r:id="Rb093e018346048e3"/>
    <x:sheet xmlns:r="http://schemas.openxmlformats.org/officeDocument/2006/relationships" name="Help" sheetId="3" r:id="R4fd8b80e912c45d5"/>
  </x:sheets>
  <x:definedNames>
    <x:definedName name="list_priority">Kanban!$G$29:$G$33</x:definedName>
    <x:definedName name="list_type">Kanban!$C$29:$C$33</x:definedName>
    <x:definedName name="valuevx">42.314159</x:definedName>
    <x:definedName name="vertex42_copyright" hidden="1">"© 2017 Vertex42 LLC"</x:definedName>
    <x:definedName name="vertex42_id" hidden="1">"agile-kanban-board.xlsx"</x:definedName>
    <x:definedName name="vertex42_title" hidden="1">"Kanban Board Template"</x:definedName>
  </x:definedNames>
</x:workbook>
</file>

<file path=xl/comments1.xml><?xml version="1.0" encoding="utf-8"?>
<x:comments xmlns:x="http://schemas.openxmlformats.org/spreadsheetml/2006/main">
  <x:authors>
    <x:author>Vertex42.com Templates</x:author>
  </x:authors>
  <x:commentList>
    <x:comment ref="D3" authorId="0">
      <x:text>
        <x:r>
          <x:t>You could change this label to "Who" if you want to use it to track who is responsible for the task.</x:t>
        </x:r>
      </x:text>
    </x:comment>
    <x:comment ref="H3" authorId="0">
      <x:text>
        <x:r>
          <x:t>Estimated Effort Points:
Enter the estimated effort, in terms of points or hours, that you have budgeted or allocated to this task.</x:t>
        </x:r>
      </x:text>
    </x:comment>
    <x:comment ref="I3" authorId="0">
      <x:text>
        <x:r>
          <x:t>Actual Hours:
You can use this column to keep track of the actual time spent on a task.</x:t>
        </x:r>
      </x:text>
    </x:comment>
  </x:commentList>
</x:comments>
</file>

<file path=xl/sharedStrings.xml><?xml version="1.0" encoding="utf-8"?>
<x:sst xmlns:x="http://schemas.openxmlformats.org/spreadsheetml/2006/main">
  <x:si>
    <x:r>
      <x:rPr>
        <x:b/>
        <x:sz val="28"/>
        <x:color theme="0"/>
        <x:rFont val="Calibri"/>
        <x:family val="2"/>
      </x:rPr>
      <x:t xml:space="preserve">Kanban </x:t>
    </x:r>
    <x:r>
      <x:rPr>
        <x:sz val="28"/>
        <x:color theme="0"/>
        <x:rFont val="Calibri"/>
        <x:family val="2"/>
      </x:rPr>
      <x:t xml:space="preserve">Board</x:t>
    </x:r>
  </x:si>
  <x:si>
    <x:t xml:space="preserve">Sprint Start Date</x:t>
  </x:si>
  <x:si>
    <x:t xml:space="preserve">Days</x:t>
  </x:si>
  <x:si>
    <x:t xml:space="preserve">Progress</x:t>
  </x:si>
  <x:si>
    <x:t xml:space="preserve">Type</x:t>
  </x:si>
  <x:si>
    <x:t xml:space="preserve">Role</x:t>
  </x:si>
  <x:si>
    <x:t xml:space="preserve">Feature or Activity</x:t>
  </x:si>
  <x:si>
    <x:t xml:space="preserve">Reason</x:t>
  </x:si>
  <x:si>
    <x:t xml:space="preserve">Priority</x:t>
  </x:si>
  <x:si>
    <x:t xml:space="preserve">Pts</x:t>
  </x:si>
  <x:si>
    <x:t xml:space="preserve">Hrs</x:t>
  </x:si>
  <x:si>
    <x:t xml:space="preserve">Details</x:t>
  </x:si>
  <x:si>
    <x:t xml:space="preserve">😴 </x:t>
  </x:si>
  <x:si>
    <x:t xml:space="preserve">Backlog</x:t>
  </x:si>
  <x:si>
    <x:t xml:space="preserve">Update</x:t>
  </x:si>
  <x:si>
    <x:t xml:space="preserve">Team</x:t>
  </x:si>
  <x:si>
    <x:t xml:space="preserve">Customize Headings and Card Types</x:t>
  </x:si>
  <x:si>
    <x:t xml:space="preserve">Edit the Legend in the Type column as needed.</x:t>
  </x:si>
  <x:si>
    <x:t xml:space="preserve">Low</x:t>
  </x:si>
  <x:si>
    <x:t xml:space="preserve">Look at the conditional formatting rules to see how the color-coding works.</x:t>
  </x:si>
  <x:si>
    <x:t xml:space="preserve">Research</x:t>
  </x:si>
  <x:si>
    <x:t xml:space="preserve">All</x:t>
  </x:si>
  <x:si>
    <x:t xml:space="preserve">Add ideas to the backlog</x:t>
  </x:si>
  <x:si>
    <x:t xml:space="preserve">The backlog is where you stick the to-dos that you might work on later.</x:t>
  </x:si>
  <x:si>
    <x:t xml:space="preserve">Some ideas may not lead to deliverables, but time may need to be allocated to researching them.</x:t>
  </x:si>
  <x:si>
    <x:t xml:space="preserve">Feature</x:t>
  </x:si>
  <x:si>
    <x:t xml:space="preserve">Who For</x:t>
  </x:si>
  <x:si>
    <x:t xml:space="preserve">Be specific</x:t>
  </x:si>
  <x:si>
    <x:t xml:space="preserve">User Story: As a [Role] I want [Feature] so that [Reason]</x:t>
  </x:si>
  <x:si>
    <x:t xml:space="preserve">High</x:t>
  </x:si>
  <x:si>
    <x:t xml:space="preserve">Content</x:t>
  </x:si>
  <x:si>
    <x:t xml:space="preserve">Articles, White Papers, Documentation</x:t>
  </x:si>
  <x:si>
    <x:t xml:space="preserve">Medium</x:t>
  </x:si>
  <x:si>
    <x:t xml:space="preserve">We use the Content type for writing blog posts, preparing marketing materials, and support content.</x:t>
  </x:si>
  <x:si>
    <x:t xml:space="preserve">😐</x:t>
  </x:si>
  <x:si>
    <x:t xml:space="preserve">To Do This Sprint</x:t>
  </x:si>
  <x:si>
    <x:t xml:space="preserve">Task</x:t>
  </x:si>
  <x:si>
    <x:t xml:space="preserve">Move Backlog cards here</x:t>
  </x:si>
  <x:si>
    <x:t xml:space="preserve">To decide what you are going to work on during this sprint.</x:t>
  </x:si>
  <x:si>
    <x:t xml:space="preserve">Decide how much we can get done</x:t>
  </x:si>
  <x:si>
    <x:t xml:space="preserve">The total estimated Pts cannot be higher than X, based on past performance.</x:t>
  </x:si>
  <x:si>
    <x:t xml:space="preserve">😃</x:t>
  </x:si>
  <x:si>
    <x:t xml:space="preserve">In Progress</x:t>
  </x:si>
  <x:si>
    <x:t xml:space="preserve">Move tasks between lanes to track completion</x:t>
  </x:si>
  <x:si>
    <x:t xml:space="preserve">Google Sheets: select the row # and drag it with the hand cursor.</x:t>
  </x:si>
  <x:si>
    <x:t xml:space="preserve">😅</x:t>
  </x:si>
  <x:si>
    <x:t xml:space="preserve">Test / Verify</x:t>
  </x:si>
  <x:si>
    <x:t xml:space="preserve">Test and Refine</x:t>
  </x:si>
  <x:si>
    <x:t xml:space="preserve">Take joy in accomplishment, Don't be afraid to scrap what isn't working.</x:t>
  </x:si>
  <x:si>
    <x:t xml:space="preserve">Make sure that challenges are worth trying to overcome, so that you don't waste time on useless stuff.</x:t>
  </x:si>
  <x:si>
    <x:t xml:space="preserve">Is the Process Helping?</x:t>
  </x:si>
  <x:si>
    <x:t xml:space="preserve">Don't add unnecessary work.</x:t>
  </x:si>
  <x:si>
    <x:t xml:space="preserve">😎</x:t>
  </x:si>
  <x:si>
    <x:t xml:space="preserve">Done</x:t>
  </x:si>
  <x:si>
    <x:t xml:space="preserve">Congratulations</x:t>
  </x:si>
  <x:si>
    <x:t xml:space="preserve">Moving stuff to DONE deserves a high five or fist bump.</x:t>
  </x:si>
  <x:si>
    <x:t xml:space="preserve">Total This Sprint</x:t>
  </x:si>
  <x:si>
    <x:t xml:space="preserve">TYPE LEGEND</x:t>
  </x:si>
  <x:si>
    <x:t xml:space="preserve">PRIORITY LEGEND</x:t>
  </x:si>
  <x:si>
    <x:t xml:space="preserve">Kanban Board Template © 2017 Vertex42.com</x:t>
  </x:si>
  <x:si>
    <x:t xml:space="preserve">https://www.vertex42.com/ExcelTemplates/agile-kanban-board.html</x:t>
  </x:si>
  <x:si>
    <x:t xml:space="preserve">PROGRESS CALCULATIONS</x:t>
  </x:si>
  <x:si>
    <x:t xml:space="preserve">Progress:</x:t>
  </x:si>
  <x:si>
    <x:t xml:space="preserve">Complete:</x:t>
  </x:si>
  <x:si>
    <x:t xml:space="preserve">Time:</x:t>
  </x:si>
  <x:si>
    <x:t xml:space="preserve">Sprint Record Book</x:t>
  </x:si>
  <x:si>
    <x:t xml:space="preserve">Sprint Days</x:t>
  </x:si>
  <x:si>
    <x:t xml:space="preserve">Pts Planned</x:t>
  </x:si>
  <x:si>
    <x:t xml:space="preserve">Pts Done</x:t>
  </x:si>
  <x:si>
    <x:t xml:space="preserve">Velocity</x:t>
  </x:si>
  <x:si>
    <x:t xml:space="preserve">Most Notable Achievements</x:t>
  </x:si>
  <x:si>
    <x:t xml:space="preserve">HELP</x:t>
  </x:si>
  <x:si>
    <x:t xml:space="preserve">© 2017 Vertex42.com</x:t>
  </x:si>
  <x:si>
    <x:t xml:space="preserve">Copyright &amp; Terms of Use (Limited Private Sharing)</x:t>
  </x:si>
  <x:si>
    <x:t xml:space="preserve">This spreadsheet, including all worksheets and associated content is copyrighted. Do not submit copies or modifications of this template to any website or online template gallery. Please review the following license agreement to learn how you may or may not use this template. Thank you.</x:t>
  </x:si>
  <x:si>
    <x:t xml:space="preserve">License Agreement</x:t>
  </x:si>
  <x:si>
    <x:t xml:space="preserve">https://www.vertex42.com/licensing/EULA_privateuse.html</x:t>
  </x:si>
  <x:si>
    <x:t xml:space="preserve">About This Template</x:t>
  </x:si>
  <x:si>
    <x:t xml:space="preserve">This worksheet was designed as an online collaborative Kanban board for use in Agile Project Management where the team members may be working remotely. Instead of columns for Backlog, To Do, In Progress, Testing, and Done, the spreadsheet uses horizontal lanes. Rows within the worksheet represent cards or sticky notes. Create new "cards" by inserting rows. Move cards between lanes by dragging and dropping the entire row.</x:t>
  </x:si>
  <x:si>
    <x:t xml:space="preserve">Create New Cards / Tasks</x:t>
  </x:si>
  <x:si>
    <x:t xml:space="preserve">Just insert a new row below or above an existing card or task. Note: In Google Sheets, when you insert a row above or below the selected line, the formatting in the newly inserted row is based on the row you have selected.</x:t>
  </x:si>
  <x:si>
    <x:t xml:space="preserve">Move Cards to new Lanes</x:t>
  </x:si>
  <x:si>
    <x:t xml:space="preserve">Select the row, then drag and drop the row by dragging the row number (the row number on the far left of the spreadsheet).</x:t>
  </x:si>
  <x:si>
    <x:t xml:space="preserve">Show/Hide rows</x:t>
  </x:si>
  <x:si>
    <x:t xml:space="preserve">You'll probably want to show/hide the rows in the Backlog. You can do that by just selecting the rows, right-clicking on the row numbers, and selecting Hide Rows. Google Sheets will display up/down arrows when rows are hidden, so to show them, click on the arrows.</x:t>
  </x:si>
  <x:si>
    <x:t xml:space="preserve">After Each Sprint</x:t>
  </x:si>
  <x:si>
    <x:t xml:space="preserve">1) Update the RecordBook worksheet with the results of the sprint.</x:t>
  </x:si>
  <x:si>
    <x:t xml:space="preserve">2) Create a copy of this spreadsheet and rename the copy based on the date of the sprint (e.g. "Sprint - 2017 11 27") and store the copy in an archived folder. You could duplicate the Kanban worksheet instead and rename the duplicate to store previous sprints within the same workbook.</x:t>
  </x:si>
  <x:si>
    <x:t xml:space="preserve">3) Begin a new sprint by removing the tasks in the Done section and adding, moving and reprioritizing the tasks that you will focus on for the next sprint.</x:t>
  </x:si>
  <x:si>
    <x:t xml:space="preserve">IMPORTANT note about File Sharing via Google Sheets</x:t>
  </x:si>
  <x:si>
    <x:t xml:space="preserve">When sharing the spreadsheet with somebody else, share it with a specific email address only (i.e. an email associated with a Google Account). Using the "Public on the web" or "Anyone with the link" option can comprise the security of your information and will also be a violation of the terms of use for this template.</x:t>
  </x:si>
  <x:si>
    <x:t xml:space="preserve">Do not use the "Public on the Web" option</x:t>
  </x:si>
  <x:si>
    <x:t xml:space="preserve">Do not use the "Anyone with the link" option</x:t>
  </x:si>
  <x:si>
    <x:t xml:space="preserve">Like this Template?</x:t>
  </x:si>
  <x:si>
    <x:t xml:space="preserve">Share the following link to vertex42.com via email, facebook, linkedin, etc. You may share this spreadsheet among your team members and management, but to recommend the template to people outside your company, please only share the link to vertex42.com, not the actual spreadsheet. Thank you!</x:t>
  </x:si>
</x:sst>
</file>

<file path=xl/styles.xml><?xml version="1.0" encoding="utf-8"?>
<x:styleSheet xmlns:x="http://schemas.openxmlformats.org/spreadsheetml/2006/main">
  <x:numFmts count="2">
    <x:numFmt numFmtId="164" formatCode="0.0%"/>
    <x:numFmt numFmtId="165" formatCode="0.0"/>
  </x:numFmts>
  <x:fonts count="46">
    <x:font>
      <x:sz val="11"/>
      <x:color rgb="FF000000"/>
      <x:name val="Calibri"/>
    </x:font>
    <x:font>
      <x:sz val="27"/>
      <x:color rgb="FFFFFFFF"/>
      <x:name val="Arial"/>
    </x:font>
    <x:font>
      <x:b/>
      <x:sz val="14"/>
      <x:color rgb="FFCFE2F3"/>
      <x:name val="Arial"/>
    </x:font>
    <x:font>
      <x:sz val="18"/>
      <x:color rgb="FFFFFFFF"/>
      <x:name val="Arial"/>
    </x:font>
    <x:font>
      <x:sz val="10"/>
      <x:color rgb="FFFFFFFF"/>
      <x:name val="Arial"/>
    </x:font>
    <x:font>
      <x:b/>
      <x:sz val="14"/>
      <x:color rgb="FF9FC5E8"/>
      <x:name val="Arial"/>
    </x:font>
    <x:font>
      <x:sz val="11"/>
      <x:name val="Calibri"/>
    </x:font>
    <x:font>
      <x:sz val="12"/>
      <x:color rgb="FF0000FF"/>
      <x:name val="Arial"/>
    </x:font>
    <x:font>
      <x:b/>
      <x:sz val="11"/>
      <x:color rgb="FFCFE2F3"/>
      <x:name val="Arial"/>
    </x:font>
    <x:font>
      <x:sz val="11"/>
      <x:color rgb="FF1155CC"/>
      <x:name val="Arial"/>
    </x:font>
    <x:font>
      <x:sz val="11"/>
      <x:color rgb="FFCFE2F3"/>
      <x:name val="Arial"/>
    </x:font>
    <x:font>
      <x:b/>
      <x:sz val="12"/>
      <x:color rgb="FF305992"/>
      <x:name val="Arial"/>
    </x:font>
    <x:font>
      <x:sz val="11"/>
      <x:color rgb="FFCFE2F3"/>
      <x:name val="Arial"/>
    </x:font>
    <x:font>
      <x:sz val="11"/>
      <x:name val="Arial"/>
    </x:font>
    <x:font>
      <x:b/>
      <x:sz val="11"/>
      <x:color rgb="FF9FC5E8"/>
      <x:name val="Arial"/>
    </x:font>
    <x:font>
      <x:b/>
      <x:sz val="11"/>
      <x:name val="Arial"/>
    </x:font>
    <x:font>
      <x:b/>
      <x:sz val="12"/>
      <x:name val="Arial"/>
    </x:font>
    <x:font>
      <x:sz val="14"/>
      <x:color rgb="FFFFFFFF"/>
      <x:name val="Arial"/>
    </x:font>
    <x:font>
      <x:sz val="11"/>
      <x:name val="Arial"/>
    </x:font>
    <x:font>
      <x:sz val="10"/>
      <x:color rgb="FF6FA8DC"/>
      <x:name val="Arial"/>
    </x:font>
    <x:font>
      <x:sz val="11"/>
      <x:color rgb="FFFF0000"/>
      <x:name val="Arial"/>
    </x:font>
    <x:font>
      <x:sz val="11"/>
      <x:color rgb="FF2D3538"/>
      <x:name val="Arial"/>
    </x:font>
    <x:font>
      <x:sz val="11"/>
      <x:color rgb="FF2D3538"/>
      <x:name val="Arial"/>
    </x:font>
    <x:font>
      <x:b/>
      <x:sz val="14"/>
      <x:color rgb="FFFFFFFF"/>
      <x:name val="Arial"/>
    </x:font>
    <x:font>
      <x:b/>
      <x:sz val="18"/>
      <x:color rgb="FFFFFFFF"/>
      <x:name val="Arial"/>
    </x:font>
    <x:font>
      <x:sz val="9"/>
      <x:color rgb="FF434343"/>
      <x:name val="Arial"/>
    </x:font>
    <x:font>
      <x:sz val="10"/>
      <x:color rgb="FF434343"/>
      <x:name val="Arial"/>
    </x:font>
    <x:font>
      <x:b/>
      <x:sz val="10"/>
      <x:color rgb="FF434343"/>
      <x:name val="Arial"/>
    </x:font>
    <x:font>
      <x:sz val="14"/>
      <x:color rgb="FF2D3538"/>
      <x:name val="Arial"/>
    </x:font>
    <x:font>
      <x:sz val="14"/>
      <x:color rgb="FF9FC5E8"/>
      <x:name val="Arial"/>
    </x:font>
    <x:font>
      <x:b/>
      <x:sz val="14"/>
      <x:color rgb="FF2D3538"/>
      <x:name val="Arial"/>
    </x:font>
    <x:font>
      <x:sz val="14"/>
      <x:color rgb="FFB6D7A8"/>
      <x:name val="Arial"/>
    </x:font>
    <x:font>
      <x:sz val="8"/>
      <x:color rgb="FF6FA8DC"/>
      <x:name val="Arial"/>
    </x:font>
    <x:font>
      <x:sz val="11"/>
      <x:color rgb="FF434343"/>
      <x:name val="Arial"/>
    </x:font>
    <x:font>
      <x:b/>
      <x:sz val="11"/>
      <x:color rgb="FF434343"/>
      <x:name val="Arial"/>
    </x:font>
    <x:font>
      <x:sz val="9"/>
      <x:color rgb="FF666666"/>
      <x:name val="Arial"/>
    </x:font>
    <x:font>
      <x:b/>
      <x:sz val="11"/>
      <x:color rgb="FF434343"/>
      <x:name val="Arial"/>
    </x:font>
    <x:font>
      <x:sz val="11"/>
      <x:color rgb="FF434343"/>
      <x:name val="Arial"/>
    </x:font>
    <x:font>
      <x:sz val="28"/>
      <x:color theme="0"/>
      <x:name val="Arial"/>
    </x:font>
    <x:font>
      <x:b/>
      <x:sz val="28"/>
      <x:color theme="0"/>
      <x:name val="Calibri"/>
    </x:font>
    <x:font>
      <x:sz val="28"/>
      <x:color theme="0"/>
      <x:name val="Calibri"/>
    </x:font>
    <x:font>
      <x:sz val="24"/>
      <x:color rgb="FFFFFFFF"/>
      <x:name val="Arial"/>
    </x:font>
    <x:font>
      <x:b/>
      <x:sz val="10"/>
      <x:color rgb="FF6FA8DC"/>
      <x:name val="Arial"/>
    </x:font>
    <x:font>
      <x:sz val="9"/>
      <x:color indexed="81"/>
      <x:name val="Tahoma"/>
    </x:font>
    <x:font>
      <x:b/>
      <x:sz val="9"/>
      <x:color indexed="81"/>
      <x:name val="Tahoma"/>
    </x:font>
    <x:font>
      <x:sz val="11"/>
      <x:color rgb="FF0000FF"/>
      <x:name val="Arial"/>
    </x:font>
  </x:fonts>
  <x:fills count="11">
    <x:fill>
      <x:patternFill patternType="none"/>
    </x:fill>
    <x:fill>
      <x:patternFill patternType="gray125"/>
    </x:fill>
    <x:fill>
      <x:patternFill patternType="solid">
        <x:fgColor rgb="FF3969AD"/>
      </x:patternFill>
    </x:fill>
    <x:fill>
      <x:patternFill patternType="solid">
        <x:fgColor rgb="FF2D5389"/>
      </x:patternFill>
    </x:fill>
    <x:fill>
      <x:patternFill patternType="solid">
        <x:fgColor rgb="FFEFEFEF"/>
      </x:patternFill>
    </x:fill>
    <x:fill>
      <x:patternFill patternType="solid">
        <x:fgColor rgb="FF666666"/>
      </x:patternFill>
    </x:fill>
    <x:fill>
      <x:patternFill patternType="solid">
        <x:fgColor rgb="FFFFFFFF"/>
      </x:patternFill>
    </x:fill>
    <x:fill>
      <x:patternFill patternType="solid">
        <x:fgColor rgb="FF227347"/>
      </x:patternFill>
    </x:fill>
    <x:fill>
      <x:patternFill patternType="solid">
        <x:fgColor rgb="FFD9D9D9"/>
      </x:patternFill>
    </x:fill>
    <x:fill>
      <x:patternFill patternType="solid">
        <x:fgColor rgb="FFCCCCCC"/>
      </x:patternFill>
    </x:fill>
    <x:fill>
      <x:patternFill patternType="solid">
        <x:fgColor theme="4" tint="0.89999"/>
      </x:patternFill>
    </x:fill>
  </x:fills>
  <x:borders count="17">
    <x:border/>
    <x:border/>
    <x:border>
      <x:bottom style="thin">
        <x:color rgb="FFD9D9D9"/>
      </x:bottom>
    </x:border>
    <x:border>
      <x:bottom style="thin">
        <x:color rgb="FF3969AD"/>
      </x:bottom>
    </x:border>
    <x:border>
      <x:bottom style="thick">
        <x:color rgb="FFEFEFEF"/>
      </x:bottom>
    </x:border>
    <x:border>
      <x:top style="thick">
        <x:color rgb="FFEFEFEF"/>
      </x:top>
      <x:bottom style="thick">
        <x:color rgb="FFEFEFEF"/>
      </x:bottom>
    </x:border>
    <x:border>
      <x:top style="thick">
        <x:color rgb="FFEFEFEF"/>
      </x:top>
      <x:bottom style="thick">
        <x:color rgb="FFEFEFEF"/>
      </x:bottom>
    </x:border>
    <x:border>
      <x:top style="thick">
        <x:color rgb="FFEFEFEF"/>
      </x:top>
      <x:bottom style="thick">
        <x:color rgb="FFEFEFEF"/>
      </x:bottom>
    </x:border>
    <x:border>
      <x:top style="thick">
        <x:color rgb="FFEFEFEF"/>
      </x:top>
      <x:bottom style="thick">
        <x:color rgb="FFEFEFEF"/>
      </x:bottom>
    </x:border>
    <x:border>
      <x:left style="thick">
        <x:color rgb="FFEFEFEF"/>
      </x:left>
      <x:top style="thick">
        <x:color rgb="FFEFEFEF"/>
      </x:top>
      <x:bottom style="thick">
        <x:color rgb="FFEFEFEF"/>
      </x:bottom>
    </x:border>
    <x:border>
      <x:top style="thick">
        <x:color rgb="FFEFEFEF"/>
      </x:top>
    </x:border>
    <x:border>
      <x:left style="thick">
        <x:color rgb="FFD9D9D9"/>
      </x:left>
      <x:right style="thick">
        <x:color rgb="FFD9D9D9"/>
      </x:right>
      <x:top style="thick">
        <x:color rgb="FFD9D9D9"/>
      </x:top>
      <x:bottom style="thick">
        <x:color rgb="FFD9D9D9"/>
      </x:bottom>
    </x:border>
    <x:border>
      <x:left style="thick">
        <x:color rgb="FFD9D9D9"/>
      </x:left>
      <x:top style="thick">
        <x:color rgb="FFD9D9D9"/>
      </x:top>
      <x:bottom style="thick">
        <x:color rgb="FFD9D9D9"/>
      </x:bottom>
    </x:border>
    <x:border>
      <x:right style="thick">
        <x:color rgb="FFD9D9D9"/>
      </x:right>
      <x:top style="thick">
        <x:color rgb="FFD9D9D9"/>
      </x:top>
      <x:bottom style="thick">
        <x:color rgb="FFD9D9D9"/>
      </x:bottom>
    </x:border>
    <x:border>
      <x:left style="thick">
        <x:color rgb="FFD9D9D9"/>
      </x:left>
      <x:right style="thick">
        <x:color rgb="FFD9D9D9"/>
      </x:right>
      <x:top style="thick">
        <x:color rgb="FFD9D9D9"/>
      </x:top>
    </x:border>
    <x:border>
      <x:left style="thick">
        <x:color rgb="FFCCCCCC"/>
      </x:left>
      <x:right style="thick">
        <x:color rgb="FFCCCCCC"/>
      </x:right>
      <x:top style="thick">
        <x:color rgb="FFCCCCCC"/>
      </x:top>
      <x:bottom style="thick">
        <x:color rgb="FFCCCCCC"/>
      </x:bottom>
    </x:border>
    <x:border>
      <x:left style="thick">
        <x:color rgb="FFD9D9D9"/>
      </x:left>
      <x:right style="thick">
        <x:color rgb="FFD9D9D9"/>
      </x:right>
      <x:bottom style="thick">
        <x:color rgb="FFD9D9D9"/>
      </x:bottom>
    </x:border>
  </x:borders>
  <x:cellStyleXfs count="2">
    <x:xf numFmtId="0" fontId="0" fillId="0" borderId="0"/>
    <x:xf numFmtId="0" fontId="45" fillId="0" borderId="0" applyNumberFormat="0" applyFill="0" applyBorder="0" applyAlignment="0" applyProtection="0"/>
  </x:cellStyleXfs>
  <x:cellXfs count="123">
    <x:xf numFmtId="0" fontId="0" fillId="0" borderId="0" xfId="0" applyFont="1" applyAlignment="1"/>
    <x:xf numFmtId="0" fontId="2" fillId="2" borderId="0" xfId="0" applyFont="1" applyFill="1" applyAlignment="1">
      <x:alignment vertical="center"/>
    </x:xf>
    <x:xf numFmtId="0" fontId="1" fillId="2" borderId="0" xfId="0" applyFont="1" applyFill="1" applyAlignment="1">
      <x:alignment vertical="center"/>
    </x:xf>
    <x:xf numFmtId="0" fontId="3" fillId="2" borderId="0" xfId="0" applyFont="1" applyFill="1" applyAlignment="1">
      <x:alignment vertical="center"/>
    </x:xf>
    <x:xf numFmtId="0" fontId="4" fillId="2" borderId="0" xfId="0" applyFont="1" applyFill="1" applyAlignment="1">
      <x:alignment horizontal="right" vertical="center"/>
    </x:xf>
    <x:xf numFmtId="0" fontId="5" fillId="2" borderId="0" xfId="0" applyFont="1" applyFill="1" applyAlignment="1">
      <x:alignment horizontal="center"/>
    </x:xf>
    <x:xf numFmtId="0" fontId="6" fillId="0" borderId="0" xfId="0" applyFont="1" applyAlignment="1">
      <x:alignment vertical="center"/>
    </x:xf>
    <x:xf numFmtId="0" fontId="7" fillId="0" borderId="0" xfId="0" applyFont="1" applyAlignment="1"/>
    <x:xf numFmtId="0" fontId="8" fillId="2" borderId="0" xfId="0" applyFont="1" applyFill="1" applyAlignment="1">
      <x:alignment vertical="center"/>
    </x:xf>
    <x:xf numFmtId="0" fontId="9" fillId="0" borderId="0" xfId="0" applyFont="1" applyAlignment="1">
      <x:alignment horizontal="right"/>
    </x:xf>
    <x:xf numFmtId="0" fontId="10" fillId="2" borderId="0" xfId="0" applyFont="1" applyFill="1" applyAlignment="1">
      <x:alignment vertical="center"/>
    </x:xf>
    <x:xf numFmtId="0" fontId="11" fillId="0" borderId="0" xfId="0" applyFont="1" applyAlignment="1"/>
    <x:xf numFmtId="0" fontId="12" fillId="2" borderId="0" xfId="0" applyFont="1" applyFill="1" applyAlignment="1">
      <x:alignment vertical="top"/>
    </x:xf>
    <x:xf numFmtId="0" fontId="13" fillId="0" borderId="0" xfId="0" applyFont="1" applyAlignment="1">
      <x:alignment vertical="top"/>
    </x:xf>
    <x:xf numFmtId="0" fontId="14" fillId="3" borderId="0" xfId="0" applyFont="1" applyFill="1" applyAlignment="1">
      <x:alignment horizontal="center" vertical="center"/>
    </x:xf>
    <x:xf numFmtId="0" fontId="13" fillId="0" borderId="0" xfId="0" applyFont="1" applyAlignment="1">
      <x:alignment wrapText="1"/>
    </x:xf>
    <x:xf numFmtId="0" fontId="14" fillId="3" borderId="0" xfId="0" applyFont="1" applyFill="1" applyAlignment="1">
      <x:alignment horizontal="center" vertical="center"/>
    </x:xf>
    <x:xf numFmtId="0" fontId="15" fillId="0" borderId="0" xfId="0" applyFont="1" applyAlignment="1">
      <x:alignment wrapText="1"/>
    </x:xf>
    <x:xf numFmtId="0" fontId="14" fillId="3" borderId="0" xfId="0" applyFont="1" applyFill="1" applyAlignment="1">
      <x:alignment vertical="center"/>
    </x:xf>
    <x:xf numFmtId="14" fontId="6" fillId="0" borderId="2" xfId="0" applyNumberFormat="1" applyFont="1" applyBorder="1" applyAlignment="1">
      <x:alignment vertical="center"/>
    </x:xf>
    <x:xf numFmtId="0" fontId="16" fillId="0" borderId="0" xfId="0" applyFont="1" applyAlignment="1"/>
    <x:xf numFmtId="0" fontId="6" fillId="0" borderId="2" xfId="0" applyFont="1" applyBorder="1" applyAlignment="1">
      <x:alignment vertical="center"/>
    </x:xf>
    <x:xf numFmtId="0" fontId="13" fillId="0" borderId="0" xfId="0" applyFont="1" applyAlignment="1">
      <x:alignment vertical="top"/>
    </x:xf>
    <x:xf numFmtId="14" fontId="6" fillId="0" borderId="2" xfId="0" applyNumberFormat="1" applyFont="1" applyBorder="1" applyAlignment="1">
      <x:alignment horizontal="center" vertical="center"/>
    </x:xf>
    <x:xf numFmtId="0" fontId="13" fillId="0" borderId="0" xfId="0" applyFont="1" applyAlignment="1"/>
    <x:xf numFmtId="0" fontId="6" fillId="0" borderId="2" xfId="0" applyFont="1" applyBorder="1" applyAlignment="1">
      <x:alignment horizontal="center" vertical="center"/>
    </x:xf>
    <x:xf numFmtId="0" fontId="16" fillId="0" borderId="0" xfId="0" applyFont="1" applyAlignment="1"/>
    <x:xf numFmtId="14" fontId="17" fillId="2" borderId="0" xfId="0" applyNumberFormat="1" applyFont="1" applyFill="1" applyAlignment="1">
      <x:alignment horizontal="center" vertical="top"/>
    </x:xf>
    <x:xf numFmtId="0" fontId="11" fillId="0" borderId="0" xfId="0" applyFont="1" applyAlignment="1"/>
    <x:xf numFmtId="0" fontId="17" fillId="2" borderId="0" xfId="0" applyFont="1" applyFill="1" applyAlignment="1">
      <x:alignment horizontal="center" vertical="top"/>
    </x:xf>
    <x:xf numFmtId="0" fontId="18" fillId="0" borderId="0" xfId="0" applyFont="1" applyAlignment="1">
      <x:alignment wrapText="1"/>
    </x:xf>
    <x:xf numFmtId="0" fontId="18" fillId="0" borderId="0" xfId="0" applyFont="1" applyAlignment="1">
      <x:alignment wrapText="1"/>
    </x:xf>
    <x:xf numFmtId="0" fontId="17" fillId="2" borderId="0" xfId="0" applyFont="1" applyFill="1" applyAlignment="1">
      <x:alignment horizontal="left" vertical="top"/>
    </x:xf>
    <x:xf numFmtId="0" fontId="19" fillId="3" borderId="3" xfId="0" applyFont="1" applyFill="1" applyBorder="1" applyAlignment="1">
      <x:alignment horizontal="center" vertical="center"/>
    </x:xf>
    <x:xf numFmtId="0" fontId="13" fillId="0" borderId="0" xfId="0" applyFont="1" applyAlignment="1">
      <x:alignment horizontal="right" vertical="top"/>
    </x:xf>
    <x:xf numFmtId="0" fontId="15" fillId="0" borderId="0" xfId="0" applyFont="1" applyAlignment="1">
      <x:alignment vertical="top"/>
    </x:xf>
    <x:xf numFmtId="0" fontId="20" fillId="0" borderId="0" xfId="0" applyFont="1" applyAlignment="1">
      <x:alignment vertical="top"/>
    </x:xf>
    <x:xf numFmtId="0" fontId="19" fillId="3" borderId="3" xfId="0" applyFont="1" applyFill="1" applyBorder="1" applyAlignment="1">
      <x:alignment vertical="center"/>
    </x:xf>
    <x:xf numFmtId="0" fontId="21" fillId="4" borderId="4" xfId="0" applyFont="1" applyFill="1" applyBorder="1" applyAlignment="1">
      <x:alignment vertical="center"/>
    </x:xf>
    <x:xf numFmtId="0" fontId="22" fillId="4" borderId="5" xfId="0" applyFont="1" applyFill="1" applyBorder="1" applyAlignment="1">
      <x:alignment vertical="center"/>
    </x:xf>
    <x:xf numFmtId="0" fontId="22" fillId="4" borderId="5" xfId="0" applyFont="1" applyFill="1" applyBorder="1" applyAlignment="1">
      <x:alignment horizontal="center" vertical="center"/>
    </x:xf>
    <x:xf numFmtId="0" fontId="23" fillId="5" borderId="6" xfId="0" applyFont="1" applyFill="1" applyBorder="1" applyAlignment="1">
      <x:alignment horizontal="center" vertical="center"/>
    </x:xf>
    <x:xf numFmtId="0" fontId="24" fillId="5" borderId="6" xfId="0" applyFont="1" applyFill="1" applyBorder="1" applyAlignment="1">
      <x:alignment vertical="center"/>
    </x:xf>
    <x:xf numFmtId="0" fontId="17" fillId="5" borderId="7" xfId="0" applyFont="1" applyFill="1" applyBorder="1" applyAlignment="1">
      <x:alignment vertical="center"/>
    </x:xf>
    <x:xf numFmtId="0" fontId="17" fillId="5" borderId="7" xfId="0" applyFont="1" applyFill="1" applyBorder="1" applyAlignment="1">
      <x:alignment horizontal="center" vertical="center"/>
    </x:xf>
    <x:xf numFmtId="0" fontId="23" fillId="5" borderId="7" xfId="0" applyFont="1" applyFill="1" applyBorder="1" applyAlignment="1">
      <x:alignment horizontal="center" vertical="center"/>
    </x:xf>
    <x:xf numFmtId="0" fontId="17" fillId="5" borderId="8" xfId="0" applyFont="1" applyFill="1" applyBorder="1" applyAlignment="1">
      <x:alignment horizontal="center" vertical="center"/>
    </x:xf>
    <x:xf numFmtId="0" fontId="25" fillId="4" borderId="5" xfId="0" applyFont="1" applyFill="1" applyBorder="1" applyAlignment="1">
      <x:alignment horizontal="center" vertical="center"/>
    </x:xf>
    <x:xf numFmtId="0" fontId="25" fillId="4" borderId="9" xfId="0" applyFont="1" applyFill="1" applyBorder="1" applyAlignment="1">
      <x:alignment horizontal="center" vertical="center"/>
    </x:xf>
    <x:xf numFmtId="0" fontId="26" fillId="6" borderId="5" xfId="0" applyFont="1" applyFill="1" applyBorder="1" applyAlignment="1">
      <x:alignment horizontal="center" vertical="center"/>
    </x:xf>
    <x:xf numFmtId="0" fontId="25" fillId="6" borderId="5" xfId="0" applyFont="1" applyFill="1" applyBorder="1" applyAlignment="1">
      <x:alignment horizontal="center" vertical="center"/>
    </x:xf>
    <x:xf numFmtId="0" fontId="27" fillId="6" borderId="5" xfId="0" applyFont="1" applyFill="1" applyBorder="1" applyAlignment="1">
      <x:alignment vertical="center" wrapText="1"/>
    </x:xf>
    <x:xf numFmtId="0" fontId="25" fillId="6" borderId="5" xfId="0" applyFont="1" applyFill="1" applyBorder="1" applyAlignment="1">
      <x:alignment vertical="center" wrapText="1"/>
    </x:xf>
    <x:xf numFmtId="0" fontId="25" fillId="6" borderId="5" xfId="0" applyFont="1" applyFill="1" applyBorder="1" applyAlignment="1">
      <x:alignment horizontal="center" vertical="center"/>
    </x:xf>
    <x:xf numFmtId="0" fontId="25" fillId="4" borderId="5" xfId="0" applyFont="1" applyFill="1" applyBorder="1" applyAlignment="1">
      <x:alignment vertical="center"/>
    </x:xf>
    <x:xf numFmtId="0" fontId="25" fillId="6" borderId="5" xfId="0" applyFont="1" applyFill="1" applyBorder="1" applyAlignment="1">
      <x:alignment vertical="center" wrapText="1"/>
    </x:xf>
    <x:xf numFmtId="0" fontId="21" fillId="4" borderId="5" xfId="0" applyFont="1" applyFill="1" applyBorder="1" applyAlignment="1">
      <x:alignment vertical="center"/>
    </x:xf>
    <x:xf numFmtId="0" fontId="22" fillId="4" borderId="9" xfId="0" applyFont="1" applyFill="1" applyBorder="1" applyAlignment="1">
      <x:alignment horizontal="center" vertical="center"/>
    </x:xf>
    <x:xf numFmtId="0" fontId="28" fillId="4" borderId="5" xfId="0" applyFont="1" applyFill="1" applyBorder="1" applyAlignment="1">
      <x:alignment vertical="center"/>
    </x:xf>
    <x:xf numFmtId="0" fontId="23" fillId="2" borderId="6" xfId="0" applyFont="1" applyFill="1" applyBorder="1" applyAlignment="1">
      <x:alignment horizontal="center" vertical="center"/>
    </x:xf>
    <x:xf numFmtId="0" fontId="24" fillId="2" borderId="6" xfId="0" applyFont="1" applyFill="1" applyBorder="1" applyAlignment="1">
      <x:alignment vertical="center"/>
    </x:xf>
    <x:xf numFmtId="0" fontId="17" fillId="2" borderId="7" xfId="0" applyFont="1" applyFill="1" applyBorder="1" applyAlignment="1">
      <x:alignment vertical="center"/>
    </x:xf>
    <x:xf numFmtId="0" fontId="17" fillId="2" borderId="7" xfId="0" applyFont="1" applyFill="1" applyBorder="1" applyAlignment="1">
      <x:alignment horizontal="center" vertical="center"/>
    </x:xf>
    <x:xf numFmtId="165" fontId="29" fillId="2" borderId="7" xfId="0" applyNumberFormat="1" applyFont="1" applyFill="1" applyBorder="1" applyAlignment="1">
      <x:alignment horizontal="center" vertical="center"/>
    </x:xf>
    <x:xf numFmtId="0" fontId="17" fillId="2" borderId="8" xfId="0" applyFont="1" applyFill="1" applyBorder="1" applyAlignment="1">
      <x:alignment horizontal="center" vertical="center"/>
    </x:xf>
    <x:xf numFmtId="0" fontId="30" fillId="4" borderId="5" xfId="0" applyFont="1" applyFill="1" applyBorder="1" applyAlignment="1">
      <x:alignment vertical="center"/>
    </x:xf>
    <x:xf numFmtId="0" fontId="28" fillId="4" borderId="5" xfId="0" applyFont="1" applyFill="1" applyBorder="1" applyAlignment="1">
      <x:alignment horizontal="center" vertical="center"/>
    </x:xf>
    <x:xf numFmtId="0" fontId="4" fillId="2" borderId="8" xfId="0" applyFont="1" applyFill="1" applyBorder="1" applyAlignment="1">
      <x:alignment horizontal="center" vertical="center"/>
    </x:xf>
    <x:xf numFmtId="0" fontId="30" fillId="4" borderId="5" xfId="0" applyFont="1" applyFill="1" applyBorder="1" applyAlignment="1">
      <x:alignment horizontal="center" vertical="center"/>
    </x:xf>
    <x:xf numFmtId="0" fontId="23" fillId="7" borderId="6" xfId="0" applyFont="1" applyFill="1" applyBorder="1" applyAlignment="1">
      <x:alignment horizontal="center" vertical="center"/>
    </x:xf>
    <x:xf numFmtId="0" fontId="24" fillId="7" borderId="6" xfId="0" applyFont="1" applyFill="1" applyBorder="1" applyAlignment="1">
      <x:alignment vertical="center"/>
    </x:xf>
    <x:xf numFmtId="0" fontId="17" fillId="7" borderId="7" xfId="0" applyFont="1" applyFill="1" applyBorder="1" applyAlignment="1">
      <x:alignment vertical="center"/>
    </x:xf>
    <x:xf numFmtId="0" fontId="17" fillId="7" borderId="7" xfId="0" applyFont="1" applyFill="1" applyBorder="1" applyAlignment="1">
      <x:alignment horizontal="center" vertical="center"/>
    </x:xf>
    <x:xf numFmtId="0" fontId="31" fillId="7" borderId="7" xfId="0" applyFont="1" applyFill="1" applyBorder="1" applyAlignment="1">
      <x:alignment horizontal="center" vertical="center"/>
    </x:xf>
    <x:xf numFmtId="0" fontId="17" fillId="7" borderId="8" xfId="0" applyFont="1" applyFill="1" applyBorder="1" applyAlignment="1">
      <x:alignment horizontal="center" vertical="center"/>
    </x:xf>
    <x:xf numFmtId="0" fontId="3" fillId="4" borderId="5" xfId="0" applyFont="1" applyFill="1" applyBorder="1" applyAlignment="1">
      <x:alignment horizontal="center" vertical="center"/>
    </x:xf>
    <x:xf numFmtId="0" fontId="3" fillId="4" borderId="9" xfId="0" applyFont="1" applyFill="1" applyBorder="1" applyAlignment="1">
      <x:alignment horizontal="center" vertical="center"/>
    </x:xf>
    <x:xf numFmtId="0" fontId="3" fillId="2" borderId="6" xfId="0" applyFont="1" applyFill="1" applyBorder="1" applyAlignment="1">
      <x:alignment vertical="center"/>
    </x:xf>
    <x:xf numFmtId="0" fontId="3" fillId="2" borderId="7" xfId="0" applyFont="1" applyFill="1" applyBorder="1" applyAlignment="1">
      <x:alignment vertical="center"/>
    </x:xf>
    <x:xf numFmtId="0" fontId="3" fillId="2" borderId="7" xfId="0" applyFont="1" applyFill="1" applyBorder="1" applyAlignment="1">
      <x:alignment horizontal="center" vertical="center"/>
    </x:xf>
    <x:xf numFmtId="165" fontId="17" fillId="2" borderId="7" xfId="0" applyNumberFormat="1" applyFont="1" applyFill="1" applyBorder="1" applyAlignment="1">
      <x:alignment horizontal="center" vertical="center"/>
    </x:xf>
    <x:xf numFmtId="0" fontId="3" fillId="2" borderId="8" xfId="0" applyFont="1" applyFill="1" applyBorder="1" applyAlignment="1">
      <x:alignment horizontal="center" vertical="center"/>
    </x:xf>
    <x:xf numFmtId="0" fontId="3" fillId="4" borderId="5" xfId="0" applyFont="1" applyFill="1" applyBorder="1" applyAlignment="1">
      <x:alignment vertical="center"/>
    </x:xf>
    <x:xf numFmtId="0" fontId="13" fillId="4" borderId="10" xfId="0" applyFont="1" applyFill="1" applyBorder="1" applyAlignment="1">
      <x:alignment vertical="center"/>
    </x:xf>
    <x:xf numFmtId="0" fontId="13" fillId="4" borderId="10" xfId="0" applyFont="1" applyFill="1" applyBorder="1" applyAlignment="1">
      <x:alignment vertical="center"/>
    </x:xf>
    <x:xf numFmtId="0" fontId="32" fillId="4" borderId="10" xfId="0" applyFont="1" applyFill="1" applyBorder="1" applyAlignment="1">
      <x:alignment horizontal="right" vertical="center"/>
    </x:xf>
    <x:xf numFmtId="0" fontId="33" fillId="8" borderId="11" xfId="0" applyFont="1" applyFill="1" applyBorder="1" applyAlignment="1">
      <x:alignment vertical="center"/>
    </x:xf>
    <x:xf numFmtId="0" fontId="34" fillId="8" borderId="11" xfId="0" applyFont="1" applyFill="1" applyBorder="1" applyAlignment="1">
      <x:alignment vertical="center"/>
    </x:xf>
    <x:xf numFmtId="0" fontId="33" fillId="8" borderId="11" xfId="0" applyFont="1" applyFill="1" applyBorder="1" applyAlignment="1">
      <x:alignment horizontal="right" vertical="center"/>
    </x:xf>
    <x:xf numFmtId="0" fontId="27" fillId="8" borderId="11" xfId="0" applyFont="1" applyFill="1" applyBorder="1" applyAlignment="1">
      <x:alignment horizontal="right"/>
    </x:xf>
    <x:xf numFmtId="0" fontId="26" fillId="8" borderId="12" xfId="0" applyFont="1" applyFill="1" applyBorder="1" applyAlignment="1">
      <x:alignment horizontal="center" vertical="center"/>
    </x:xf>
    <x:xf numFmtId="0" fontId="26" fillId="8" borderId="13" xfId="0" applyFont="1" applyFill="1" applyBorder="1" applyAlignment="1">
      <x:alignment horizontal="center" vertical="center"/>
    </x:xf>
    <x:xf numFmtId="0" fontId="26" fillId="8" borderId="11" xfId="0" applyFont="1" applyFill="1" applyBorder="1" applyAlignment="1">
      <x:alignment horizontal="center" vertical="center"/>
    </x:xf>
    <x:xf numFmtId="0" fontId="35" fillId="8" borderId="11" xfId="0" applyFont="1" applyFill="1" applyBorder="1" applyAlignment="1">
      <x:alignment horizontal="right" vertical="top"/>
    </x:xf>
    <x:xf numFmtId="0" fontId="26" fillId="8" borderId="13" xfId="0" applyFont="1" applyFill="1" applyBorder="1" applyAlignment="1">
      <x:alignment horizontal="center" vertical="center"/>
    </x:xf>
    <x:xf numFmtId="0" fontId="33" fillId="8" borderId="11" xfId="0" applyFont="1" applyFill="1" applyBorder="1" applyAlignment="1">
      <x:alignment vertical="center"/>
    </x:xf>
    <x:xf numFmtId="0" fontId="33" fillId="8" borderId="14" xfId="0" applyFont="1" applyFill="1" applyBorder="1" applyAlignment="1">
      <x:alignment vertical="center"/>
    </x:xf>
    <x:xf numFmtId="0" fontId="33" fillId="8" borderId="12" xfId="0" applyFont="1" applyFill="1" applyBorder="1" applyAlignment="1">
      <x:alignment vertical="center"/>
    </x:xf>
    <x:xf numFmtId="0" fontId="34" fillId="8" borderId="14" xfId="0" applyFont="1" applyFill="1" applyBorder="1" applyAlignment="1">
      <x:alignment vertical="center"/>
    </x:xf>
    <x:xf numFmtId="0" fontId="33" fillId="8" borderId="13" xfId="0" applyFont="1" applyFill="1" applyBorder="1" applyAlignment="1">
      <x:alignment vertical="center"/>
    </x:xf>
    <x:xf numFmtId="0" fontId="36" fillId="8" borderId="11" xfId="0" applyFont="1" applyFill="1" applyBorder="1" applyAlignment="1">
      <x:alignment vertical="center"/>
    </x:xf>
    <x:xf numFmtId="0" fontId="36" fillId="8" borderId="11" xfId="0" applyFont="1" applyFill="1" applyBorder="1" applyAlignment="1"/>
    <x:xf numFmtId="0" fontId="33" fillId="8" borderId="12" xfId="0" applyFont="1" applyFill="1" applyBorder="1" applyAlignment="1">
      <x:alignment vertical="center"/>
    </x:xf>
    <x:xf numFmtId="0" fontId="27" fillId="9" borderId="15" xfId="0" applyFont="1" applyFill="1" applyBorder="1" applyAlignment="1">
      <x:alignment horizontal="right" vertical="center"/>
    </x:xf>
    <x:xf numFmtId="10" fontId="26" fillId="9" borderId="15" xfId="0" applyNumberFormat="1" applyFont="1" applyFill="1" applyBorder="1" applyAlignment="1">
      <x:alignment horizontal="center" vertical="center"/>
    </x:xf>
    <x:xf numFmtId="0" fontId="26" fillId="9" borderId="15" xfId="0" applyFont="1" applyFill="1" applyBorder="1" applyAlignment="1">
      <x:alignment vertical="center"/>
    </x:xf>
    <x:xf numFmtId="0" fontId="37" fillId="8" borderId="11" xfId="0" applyFont="1" applyFill="1" applyBorder="1" applyAlignment="1">
      <x:alignment vertical="center"/>
    </x:xf>
    <x:xf numFmtId="0" fontId="37" fillId="8" borderId="11" xfId="0" applyFont="1" applyFill="1" applyBorder="1" applyAlignment="1">
      <x:alignment vertical="center"/>
    </x:xf>
    <x:xf numFmtId="0" fontId="33" fillId="8" borderId="12" xfId="0" applyFont="1" applyFill="1" applyBorder="1" applyAlignment="1">
      <x:alignment horizontal="right" vertical="center"/>
    </x:xf>
    <x:xf numFmtId="0" fontId="26" fillId="9" borderId="15" xfId="0" applyFont="1" applyFill="1" applyBorder="1" applyAlignment="1">
      <x:alignment horizontal="center" vertical="center"/>
    </x:xf>
    <x:xf numFmtId="0" fontId="26" fillId="9" borderId="15" xfId="0" applyFont="1" applyFill="1" applyBorder="1" applyAlignment="1">
      <x:alignment horizontal="center" vertical="center"/>
    </x:xf>
    <x:xf numFmtId="0" fontId="33" fillId="8" borderId="16" xfId="0" applyFont="1" applyFill="1" applyBorder="1" applyAlignment="1">
      <x:alignment vertical="center"/>
    </x:xf>
    <x:xf numFmtId="0" fontId="41" fillId="2" borderId="1" xfId="0" applyFont="1" applyFill="1" applyBorder="1" applyAlignment="1">
      <x:alignment vertical="center"/>
    </x:xf>
    <x:xf numFmtId="0" fontId="42" fillId="3" borderId="3" xfId="0" applyFont="1" applyFill="1" applyBorder="1" applyAlignment="1">
      <x:alignment horizontal="center" vertical="center"/>
    </x:xf>
    <x:xf numFmtId="0" fontId="6" fillId="10" borderId="2" xfId="0" applyFont="1" applyFill="1" applyBorder="1" applyAlignment="1">
      <x:alignment vertical="center"/>
    </x:xf>
    <x:xf numFmtId="0" fontId="6" fillId="10" borderId="2" xfId="0" applyFont="1" applyFill="1" applyBorder="1" applyAlignment="1">
      <x:alignment horizontal="center" vertical="center"/>
    </x:xf>
    <x:xf numFmtId="0" fontId="38" fillId="2" borderId="0" xfId="0" applyFont="1" applyFill="1" applyAlignment="1">
      <x:alignment horizontal="left" vertical="center"/>
    </x:xf>
    <x:xf numFmtId="0" fontId="40" fillId="0" borderId="0" xfId="0" applyFont="1" applyAlignment="1"/>
    <x:xf numFmtId="0" fontId="5" fillId="2" borderId="0" xfId="0" applyFont="1" applyFill="1" applyAlignment="1">
      <x:alignment horizontal="center"/>
    </x:xf>
    <x:xf numFmtId="0" fontId="0" fillId="0" borderId="0" xfId="0" applyFont="1" applyAlignment="1"/>
    <x:xf numFmtId="164" fontId="17" fillId="2" borderId="0" xfId="0" applyNumberFormat="1" applyFont="1" applyFill="1" applyAlignment="1">
      <x:alignment horizontal="center" vertical="top"/>
    </x:xf>
    <x:xf numFmtId="0" fontId="11" fillId="0" borderId="0" xfId="0" applyFont="1" applyAlignment="1"/>
    <x:xf numFmtId="0" fontId="45" fillId="0" borderId="0" xfId="1" applyAlignment="1"/>
  </x:cellXfs>
  <x:cellStyles count="2">
    <x:cellStyle name="Hyperlink" xfId="1"/>
    <x:cellStyle name="Normal" xfId="0"/>
  </x:cellStyles>
  <x:dxfs count="20">
    <x:dxf>
      <x:fill>
        <x:patternFill>
          <x:bgColor rgb="FF8E7CC3"/>
        </x:patternFill>
      </x:fill>
    </x:dxf>
    <x:dxf>
      <x:fill>
        <x:patternFill>
          <x:bgColor rgb="FFE06666"/>
        </x:patternFill>
      </x:fill>
    </x:dxf>
    <x:dxf>
      <x:fill>
        <x:patternFill>
          <x:bgColor rgb="FFF6B26B"/>
        </x:patternFill>
      </x:fill>
    </x:dxf>
    <x:dxf>
      <x:fill>
        <x:patternFill>
          <x:bgColor rgb="FF93C47D"/>
        </x:patternFill>
      </x:fill>
    </x:dxf>
    <x:dxf>
      <x:fill>
        <x:patternFill>
          <x:bgColor rgb="FF6FA8DC"/>
        </x:patternFill>
      </x:fill>
    </x:dxf>
    <x:dxf>
      <x:fill>
        <x:patternFill>
          <x:bgColor rgb="FFD9D2E9"/>
        </x:patternFill>
      </x:fill>
    </x:dxf>
    <x:dxf>
      <x:fill>
        <x:patternFill>
          <x:bgColor rgb="FFB4A7D6"/>
        </x:patternFill>
      </x:fill>
    </x:dxf>
    <x:dxf>
      <x:fill>
        <x:patternFill>
          <x:bgColor rgb="FFEA9999"/>
        </x:patternFill>
      </x:fill>
    </x:dxf>
    <x:dxf>
      <x:fill>
        <x:patternFill>
          <x:bgColor rgb="FFF9CB9C"/>
        </x:patternFill>
      </x:fill>
    </x:dxf>
    <x:dxf>
      <x:fill>
        <x:patternFill>
          <x:bgColor rgb="FFB6D7A8"/>
        </x:patternFill>
      </x:fill>
    </x:dxf>
    <x:dxf>
      <x:fill>
        <x:patternFill>
          <x:bgColor rgb="FF9FC5E8"/>
        </x:patternFill>
      </x:fill>
    </x:dxf>
    <x:dxf>
      <x:font>
        <x:color rgb="FF9C0006"/>
      </x:font>
      <x:fill>
        <x:patternFill>
          <x:bgColor rgb="FFFFC7CE"/>
        </x:patternFill>
      </x:fill>
    </x:dxf>
    <x:dxf>
      <x:font>
        <x:color rgb="FF9C5700"/>
      </x:font>
      <x:fill>
        <x:patternFill>
          <x:bgColor rgb="FFFFEB9C"/>
        </x:patternFill>
      </x:fill>
    </x:dxf>
    <x:dxf>
      <x:font>
        <x:color rgb="FF7F7F7F"/>
      </x:font>
      <x:fill>
        <x:patternFill>
          <x:bgColor rgb="FFF9F9F9"/>
        </x:patternFill>
      </x:fill>
    </x:dxf>
    <x:dxf>
      <x:fill>
        <x:patternFill>
          <x:bgColor rgb="FFD9D2E9"/>
        </x:patternFill>
      </x:fill>
    </x:dxf>
    <x:dxf>
      <x:fill>
        <x:patternFill>
          <x:bgColor rgb="FFEA9999"/>
        </x:patternFill>
      </x:fill>
    </x:dxf>
    <x:dxf>
      <x:fill>
        <x:patternFill>
          <x:bgColor rgb="FFF9CB9C"/>
        </x:patternFill>
      </x:fill>
    </x:dxf>
    <x:dxf>
      <x:fill>
        <x:patternFill>
          <x:bgColor rgb="FFB6D7A8"/>
        </x:patternFill>
      </x:fill>
    </x:dxf>
    <x:dxf>
      <x:fill>
        <x:patternFill>
          <x:bgColor rgb="FF9FC5E8"/>
        </x:patternFill>
      </x:fill>
    </x:dxf>
    <x:dxf>
      <x:fill>
        <x:patternFill>
          <x:bgColor rgb="FFD9D2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ef4e3619804f93" /><Relationship Type="http://schemas.openxmlformats.org/officeDocument/2006/relationships/theme" Target="/xl/theme/theme1.xml" Id="R82679624fcf44116" /><Relationship Type="http://schemas.openxmlformats.org/officeDocument/2006/relationships/sharedStrings" Target="/xl/sharedStrings.xml" Id="R70e53ecee7294956" /><Relationship Type="http://schemas.openxmlformats.org/officeDocument/2006/relationships/worksheet" Target="/xl/worksheets/sheet1.xml" Id="R692ada836df44f01" /><Relationship Type="http://schemas.openxmlformats.org/officeDocument/2006/relationships/worksheet" Target="/xl/worksheets/sheet2.xml" Id="Rb093e018346048e3" /><Relationship Type="http://schemas.openxmlformats.org/officeDocument/2006/relationships/worksheet" Target="/xl/worksheets/sheet3.xml" Id="R4fd8b80e912c45d5" /><Relationship Type="http://schemas.microsoft.com/office/2017/10/relationships/person" Target="/xl/persons/person.xml" Id="Reb4dc64417dc4828" /></Relationships>
</file>

<file path=xl/drawings/_rels/drawing1.xml.rels>&#65279;<?xml version="1.0" encoding="utf-8"?><Relationships xmlns="http://schemas.openxmlformats.org/package/2006/relationships"><Relationship Type="http://schemas.openxmlformats.org/officeDocument/2006/relationships/image" Target="/xl/media/image.png" Id="R5a8e9cc82a8d419b" /><Relationship Type="http://schemas.openxmlformats.org/officeDocument/2006/relationships/image" Target="/xl/media/image2.png" Id="R56035544c61841f3" /></Relationships>
</file>

<file path=xl/drawings/drawing1.xml><?xml version="1.0" encoding="utf-8"?>
<xdr:wsDr xmlns:xdr="http://schemas.openxmlformats.org/drawingml/2006/spreadsheetDrawing">
  <xdr:twoCellAnchor editAs="oneCell">
    <xdr:from>
      <xdr:col>0</xdr:col>
      <xdr:colOff>0</xdr:colOff>
      <xdr:row>0</xdr:row>
      <xdr:rowOff>0</xdr:rowOff>
    </xdr:from>
    <xdr:to>
      <xdr:col>9</xdr:col>
      <xdr:colOff>2143125</xdr:colOff>
      <xdr:row>27</xdr:row>
      <xdr:rowOff>161925</xdr:rowOff>
    </xdr:to>
    <xdr:sp>
      <xdr:nvSpPr>
        <xdr:cNvPr id="1" name="Text Box 4"/>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round/>
        </a:ln>
      </xdr:spPr>
    </xdr:sp>
    <xdr:clientData/>
  </xdr:twoCellAnchor>
  <xdr:twoCellAnchor editAs="oneCell">
    <xdr:from>
      <xdr:col>0</xdr:col>
      <xdr:colOff>0</xdr:colOff>
      <xdr:row>0</xdr:row>
      <xdr:rowOff>0</xdr:rowOff>
    </xdr:from>
    <xdr:to>
      <xdr:col>9</xdr:col>
      <xdr:colOff>2143125</xdr:colOff>
      <xdr:row>27</xdr:row>
      <xdr:rowOff>161925</xdr:rowOff>
    </xdr:to>
    <xdr:sp>
      <xdr:nvSpPr>
        <xdr:cNvPr id="2" name="AutoShape 4"/>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9</xdr:col>
      <xdr:colOff>2143125</xdr:colOff>
      <xdr:row>27</xdr:row>
      <xdr:rowOff>161925</xdr:rowOff>
    </xdr:to>
    <xdr:sp>
      <xdr:nvSpPr>
        <xdr:cNvPr id="3" name="AutoShape 4"/>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9</xdr:col>
      <xdr:colOff>2143125</xdr:colOff>
      <xdr:row>27</xdr:row>
      <xdr:rowOff>161925</xdr:rowOff>
    </xdr:to>
    <xdr:sp>
      <xdr:nvSpPr>
        <xdr:cNvPr id="4" name="AutoShape 4"/>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9</xdr:col>
      <xdr:colOff>2552700</xdr:colOff>
      <xdr:row>0</xdr:row>
      <xdr:rowOff>47625</xdr:rowOff>
    </xdr:from>
    <xdr:to>
      <xdr:col>9</xdr:col>
      <xdr:colOff>3228975</xdr:colOff>
      <xdr:row>1</xdr:row>
      <xdr:rowOff>342900</xdr:rowOff>
    </xdr:to>
    <xdr:pic>
      <xdr:nvPicPr>
        <xdr:cNvPr id="5" name="/xl/media/image1.png"/>
        <xdr:cNvPicPr>
          <a:picLocks xmlns:a="http://schemas.openxmlformats.org/drawingml/2006/main" noChangeAspect="1"/>
        </xdr:cNvPicPr>
      </xdr:nvPicPr>
      <xdr:blipFill>
        <a:blip xmlns:r="http://schemas.openxmlformats.org/officeDocument/2006/relationships" xmlns:a="http://schemas.openxmlformats.org/drawingml/2006/main" r:embed="R5a8e9cc82a8d419b"/>
        <a:stretch xmlns:a="http://schemas.openxmlformats.org/drawingml/2006/main">
          <a:fillRect/>
        </a:stretch>
      </xdr:blipFill>
      <xdr:spPr>
        <a:prstGeom xmlns:a="http://schemas.openxmlformats.org/drawingml/2006/main" prst="rect"/>
      </xdr:spPr>
    </xdr:pic>
    <xdr:clientData/>
  </xdr:twoCellAnchor>
  <xdr:oneCellAnchor>
    <xdr:from>
      <xdr:col>0</xdr:col>
      <xdr:colOff>0</xdr:colOff>
      <xdr:row>0</xdr:row>
      <xdr:rowOff>0</xdr:rowOff>
    </xdr:from>
    <xdr:ext cx="1219200" cy="438150"/>
    <xdr:pic>
      <xdr:nvPicPr>
        <xdr:cNvPr id="6" name="a7ef4f16-b8a6-4635-a1d0-9c75ee84b516"/>
        <xdr:cNvPicPr>
          <a:picLocks xmlns:a="http://schemas.openxmlformats.org/drawingml/2006/main" noChangeAspect="1"/>
        </xdr:cNvPicPr>
      </xdr:nvPicPr>
      <xdr:blipFill>
        <a:blip xmlns:r="http://schemas.openxmlformats.org/officeDocument/2006/relationships" xmlns:a="http://schemas.openxmlformats.org/drawingml/2006/main" r:embed="R56035544c61841f3"/>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Vertex42.com Templates" id="{09E0923F-6835-83E8-E39E-3D46CF1663B0}"/>
</xltc:personList>
</file>

<file path=xl/theme/theme1.xml><?xml version="1.0" encoding="utf-8"?>
<a:theme xmlns:a="http://schemas.openxmlformats.org/drawingml/2006/main" name="Office Theme">
  <a:themeElements>
    <a:clrScheme name="Vertex42 - Blue">
      <a:dk1>
        <a:sysClr val="windowText" lastClr="000000"/>
      </a:dk1>
      <a:lt1>
        <a:sysClr val="window" lastClr="FFFFFF"/>
      </a:lt1>
      <a:dk2>
        <a:srgbClr val="777777"/>
      </a:dk2>
      <a:lt2>
        <a:srgbClr val="EEECE2"/>
      </a:lt2>
      <a:accent1>
        <a:srgbClr val="3970AD"/>
      </a:accent1>
      <a:accent2>
        <a:srgbClr val="AA3B3B"/>
      </a:accent2>
      <a:accent3>
        <a:srgbClr val="317642"/>
      </a:accent3>
      <a:accent4>
        <a:srgbClr val="846648"/>
      </a:accent4>
      <a:accent5>
        <a:srgbClr val="D5711B"/>
      </a:accent5>
      <a:accent6>
        <a:srgbClr val="7D5592"/>
      </a:accent6>
      <a:hlink>
        <a:srgbClr val="4C92AE"/>
      </a:hlink>
      <a:folHlink>
        <a:srgbClr val="969696"/>
      </a:folHlink>
    </a:clrScheme>
    <a:fontScheme name="Office">
      <a:majorFont>
        <a:latin typeface="Calibri Light"/>
        <a:ea typeface="Calibri Light"/>
        <a:cs typeface="Calibri Light"/>
      </a:majorFont>
      <a:minorFont>
        <a:latin typeface="Calibri"/>
        <a:ea typeface="Calibri"/>
        <a:cs typeface="Calibri"/>
      </a:minorFont>
    </a:fontScheme>
    <a:fmtScheme name="Vertex42 - Blu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vertex42.com/ExcelTemplates/agile-kanban-board.html" TargetMode="External" Id="Rb99bb481dc1d4299" /><Relationship Type="http://schemas.openxmlformats.org/officeDocument/2006/relationships/comments" Target="/xl/comments1.xml" Id="Rf9bd4c198d32495f" /><Relationship Type="http://schemas.openxmlformats.org/officeDocument/2006/relationships/vmlDrawing" Target="/xl/drawings/vmldrawing.vml" Id="R53ca3ac22cc047d9" /><Relationship Type="http://schemas.openxmlformats.org/officeDocument/2006/relationships/drawing" Target="/xl/drawings/drawing1.xml" Id="R667d130f577d4a7b" /></Relationships>
</file>

<file path=xl/worksheets/_rels/sheet3.xml.rels>&#65279;<?xml version="1.0" encoding="utf-8"?><Relationships xmlns="http://schemas.openxmlformats.org/package/2006/relationships"><Relationship Type="http://schemas.openxmlformats.org/officeDocument/2006/relationships/hyperlink" Target="https://www.vertex42.com/ExcelTemplates/agile-kanban-board.html" TargetMode="External" Id="R60f8ef7976e7425a" /><Relationship Type="http://schemas.openxmlformats.org/officeDocument/2006/relationships/hyperlink" Target="https://www.vertex42.com/licensing/EULA_privateuse.html" TargetMode="External" Id="R6036cd81755e4405" /><Relationship Type="http://schemas.openxmlformats.org/officeDocument/2006/relationships/hyperlink" Target="https://www.vertex42.com/ExcelTemplates/agile-kanban-board.html" TargetMode="External" Id="R95b9bfdd12bd4bbe"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ColWidth="14.42578125" defaultRowHeight="15"/>
  <x:cols>
    <x:col min="1" max="1" width="4" customWidth="1"/>
    <x:col min="2" max="2" width="1.5703125" customWidth="1"/>
    <x:col min="3" max="3" width="13" customWidth="1"/>
    <x:col min="4" max="4" width="8.7109375" customWidth="1"/>
    <x:col min="5" max="5" width="24.42578125" customWidth="1"/>
    <x:col min="6" max="6" width="31.7109375" customWidth="1"/>
    <x:col min="7" max="7" width="11.5703125" customWidth="1"/>
    <x:col min="8" max="9" width="7.85546875" customWidth="1"/>
    <x:col min="10" max="10" width="48.7109375" customWidth="1"/>
    <x:col min="11" max="11" width="5.5703125" customWidth="1"/>
  </x:cols>
  <x:sheetData>
    <x:row r="1" ht="30" customHeight="1">
      <x:c r="A1" s="1"/>
      <x:c r="B1" s="1"/>
      <x:c r="C1" s="116" t="s">
        <x:v>0</x:v>
      </x:c>
      <x:c r="D1" s="117"/>
      <x:c r="E1" s="117"/>
      <x:c r="F1" s="5" t="s">
        <x:v>1</x:v>
      </x:c>
      <x:c r="G1" s="5" t="s">
        <x:v>2</x:v>
      </x:c>
      <x:c r="H1" s="118" t="s">
        <x:v>3</x:v>
      </x:c>
      <x:c r="I1" s="119"/>
      <x:c r="J1" s="8"/>
      <x:c r="K1" s="10"/>
    </x:row>
    <x:row r="2" ht="30" customHeight="1">
      <x:c r="A2" s="12"/>
      <x:c r="B2" s="12"/>
      <x:c r="C2" s="117"/>
      <x:c r="D2" s="117"/>
      <x:c r="E2" s="117"/>
      <x:c r="F2" s="27">
        <x:v>44053</x:v>
      </x:c>
      <x:c r="G2" s="29">
        <x:v>14</x:v>
      </x:c>
      <x:c r="H2" s="120">
        <x:f ca="1">H35</x:f>
        <x:v>0.25</x:v>
      </x:c>
      <x:c r="I2" s="119"/>
      <x:c r="J2" s="32" t="str">
        <x:f ca="1">I35</x:f>
        <x:v>⚑⌛⚑⚑⚑⚐⚐⚐⚐⚐⚐⚐⚐⚐⚐🏁</x:v>
      </x:c>
      <x:c r="K2" s="12"/>
    </x:row>
    <x:row r="3" ht="18.75" customHeight="1">
      <x:c r="A3" s="33"/>
      <x:c r="B3" s="33"/>
      <x:c r="C3" s="113" t="s">
        <x:v>4</x:v>
      </x:c>
      <x:c r="D3" s="113" t="s">
        <x:v>5</x:v>
      </x:c>
      <x:c r="E3" s="113" t="s">
        <x:v>6</x:v>
      </x:c>
      <x:c r="F3" s="113" t="s">
        <x:v>7</x:v>
      </x:c>
      <x:c r="G3" s="113" t="s">
        <x:v>8</x:v>
      </x:c>
      <x:c r="H3" s="113" t="s">
        <x:v>9</x:v>
      </x:c>
      <x:c r="I3" s="113" t="s">
        <x:v>10</x:v>
      </x:c>
      <x:c r="J3" s="113" t="s">
        <x:v>11</x:v>
      </x:c>
      <x:c r="K3" s="37"/>
    </x:row>
    <x:row r="4" ht="9.75" customHeight="1">
      <x:c r="A4" s="38"/>
      <x:c r="B4" s="38"/>
      <x:c r="C4" s="38"/>
      <x:c r="D4" s="38"/>
      <x:c r="E4" s="38"/>
      <x:c r="F4" s="38"/>
      <x:c r="G4" s="38"/>
      <x:c r="H4" s="38"/>
      <x:c r="I4" s="38"/>
      <x:c r="J4" s="38"/>
      <x:c r="K4" s="38"/>
    </x:row>
    <x:row r="5" ht="33.75" customHeight="1">
      <x:c r="A5" s="39"/>
      <x:c r="B5" s="40"/>
      <x:c r="C5" s="41" t="s">
        <x:v>12</x:v>
      </x:c>
      <x:c r="D5" s="42" t="s">
        <x:v>13</x:v>
      </x:c>
      <x:c r="E5" s="43"/>
      <x:c r="F5" s="43"/>
      <x:c r="G5" s="44"/>
      <x:c r="H5" s="45"/>
      <x:c r="I5" s="45"/>
      <x:c r="J5" s="46"/>
      <x:c r="K5" s="39"/>
    </x:row>
    <x:row r="6" ht="30" customHeight="1">
      <x:c r="A6" s="47"/>
      <x:c r="B6" s="48"/>
      <x:c r="C6" s="49" t="s">
        <x:v>14</x:v>
      </x:c>
      <x:c r="D6" s="50" t="s">
        <x:v>15</x:v>
      </x:c>
      <x:c r="E6" s="51" t="s">
        <x:v>16</x:v>
      </x:c>
      <x:c r="F6" s="52" t="s">
        <x:v>17</x:v>
      </x:c>
      <x:c r="G6" s="49" t="s">
        <x:v>18</x:v>
      </x:c>
      <x:c r="H6" s="50">
        <x:v>5</x:v>
      </x:c>
      <x:c r="I6" s="53"/>
      <x:c r="J6" s="52" t="s">
        <x:v>19</x:v>
      </x:c>
      <x:c r="K6" s="54"/>
    </x:row>
    <x:row r="7" ht="30" customHeight="1">
      <x:c r="A7" s="47"/>
      <x:c r="B7" s="48"/>
      <x:c r="C7" s="49" t="s">
        <x:v>20</x:v>
      </x:c>
      <x:c r="D7" s="50" t="s">
        <x:v>21</x:v>
      </x:c>
      <x:c r="E7" s="51" t="s">
        <x:v>22</x:v>
      </x:c>
      <x:c r="F7" s="52" t="s">
        <x:v>23</x:v>
      </x:c>
      <x:c r="G7" s="49" t="s">
        <x:v>18</x:v>
      </x:c>
      <x:c r="H7" s="50">
        <x:v>2</x:v>
      </x:c>
      <x:c r="I7" s="53"/>
      <x:c r="J7" s="52" t="s">
        <x:v>24</x:v>
      </x:c>
      <x:c r="K7" s="54"/>
    </x:row>
    <x:row r="8" ht="30" customHeight="1">
      <x:c r="A8" s="47"/>
      <x:c r="B8" s="48"/>
      <x:c r="C8" s="49" t="s">
        <x:v>25</x:v>
      </x:c>
      <x:c r="D8" s="50" t="s">
        <x:v>26</x:v>
      </x:c>
      <x:c r="E8" s="51" t="s">
        <x:v>27</x:v>
      </x:c>
      <x:c r="F8" s="52" t="s">
        <x:v>28</x:v>
      </x:c>
      <x:c r="G8" s="49" t="s">
        <x:v>29</x:v>
      </x:c>
      <x:c r="H8" s="50">
        <x:v>6</x:v>
      </x:c>
      <x:c r="I8" s="53"/>
      <x:c r="J8" s="55"/>
      <x:c r="K8" s="54"/>
    </x:row>
    <x:row r="9" ht="30" customHeight="1">
      <x:c r="A9" s="47"/>
      <x:c r="B9" s="48"/>
      <x:c r="C9" s="49" t="s">
        <x:v>30</x:v>
      </x:c>
      <x:c r="D9" s="50"/>
      <x:c r="E9" s="51" t="s">
        <x:v>31</x:v>
      </x:c>
      <x:c r="F9" s="52"/>
      <x:c r="G9" s="49" t="s">
        <x:v>32</x:v>
      </x:c>
      <x:c r="H9" s="50">
        <x:v>3</x:v>
      </x:c>
      <x:c r="I9" s="53"/>
      <x:c r="J9" s="52" t="s">
        <x:v>33</x:v>
      </x:c>
      <x:c r="K9" s="54"/>
    </x:row>
    <x:row r="10" ht="18.75" customHeight="1">
      <x:c r="A10" s="56"/>
      <x:c r="B10" s="57"/>
      <x:c r="C10" s="56"/>
      <x:c r="D10" s="56"/>
      <x:c r="E10" s="56"/>
      <x:c r="F10" s="56"/>
      <x:c r="G10" s="56"/>
      <x:c r="H10" s="56"/>
      <x:c r="I10" s="56"/>
      <x:c r="J10" s="56"/>
      <x:c r="K10" s="56"/>
    </x:row>
    <x:row r="11" ht="33.75" customHeight="1">
      <x:c r="A11" s="58"/>
      <x:c r="B11" s="57"/>
      <x:c r="C11" s="59" t="s">
        <x:v>34</x:v>
      </x:c>
      <x:c r="D11" s="60" t="s">
        <x:v>35</x:v>
      </x:c>
      <x:c r="E11" s="61"/>
      <x:c r="F11" s="61"/>
      <x:c r="G11" s="62"/>
      <x:c r="H11" s="63">
        <x:f t="shared" ref="H11:I11" ca="1" si="0">SUBTOTAL(9,OFFSET(H11,1,0):OFFSET(H15,-1,0))</x:f>
        <x:v>6</x:v>
      </x:c>
      <x:c r="I11" s="63">
        <x:f t="shared" ca="1" si="0"/>
        <x:v>0</x:v>
      </x:c>
      <x:c r="J11" s="64"/>
      <x:c r="K11" s="39"/>
    </x:row>
    <x:row r="12" ht="30" customHeight="1">
      <x:c r="A12" s="47"/>
      <x:c r="B12" s="48"/>
      <x:c r="C12" s="49" t="s">
        <x:v>36</x:v>
      </x:c>
      <x:c r="D12" s="50" t="s">
        <x:v>21</x:v>
      </x:c>
      <x:c r="E12" s="51" t="s">
        <x:v>37</x:v>
      </x:c>
      <x:c r="F12" s="52" t="s">
        <x:v>38</x:v>
      </x:c>
      <x:c r="G12" s="49"/>
      <x:c r="H12" s="50">
        <x:v>3</x:v>
      </x:c>
      <x:c r="I12" s="50"/>
      <x:c r="J12" s="52"/>
      <x:c r="K12" s="54"/>
    </x:row>
    <x:row r="13" ht="30" customHeight="1">
      <x:c r="A13" s="47"/>
      <x:c r="B13" s="48"/>
      <x:c r="C13" s="49" t="s">
        <x:v>36</x:v>
      </x:c>
      <x:c r="D13" s="50" t="s">
        <x:v>21</x:v>
      </x:c>
      <x:c r="E13" s="51" t="s">
        <x:v>39</x:v>
      </x:c>
      <x:c r="F13" s="52" t="s">
        <x:v>40</x:v>
      </x:c>
      <x:c r="G13" s="49"/>
      <x:c r="H13" s="50">
        <x:v>3</x:v>
      </x:c>
      <x:c r="I13" s="50"/>
      <x:c r="J13" s="52"/>
      <x:c r="K13" s="54"/>
    </x:row>
    <x:row r="14" ht="18.75" customHeight="1">
      <x:c r="A14" s="58"/>
      <x:c r="B14" s="57"/>
      <x:c r="C14" s="65"/>
      <x:c r="D14" s="58"/>
      <x:c r="E14" s="58"/>
      <x:c r="F14" s="58"/>
      <x:c r="G14" s="66"/>
      <x:c r="H14" s="66"/>
      <x:c r="I14" s="66"/>
      <x:c r="J14" s="66"/>
      <x:c r="K14" s="39"/>
    </x:row>
    <x:row r="15" ht="33.75" customHeight="1">
      <x:c r="A15" s="58"/>
      <x:c r="B15" s="57"/>
      <x:c r="C15" s="59" t="s">
        <x:v>41</x:v>
      </x:c>
      <x:c r="D15" s="60" t="s">
        <x:v>42</x:v>
      </x:c>
      <x:c r="E15" s="61"/>
      <x:c r="F15" s="61"/>
      <x:c r="G15" s="62"/>
      <x:c r="H15" s="63">
        <x:f t="shared" ref="H15:I15" ca="1" si="1">SUBTOTAL(9,OFFSET(H15,1,0):OFFSET(H18,-1,0))</x:f>
        <x:v>0</x:v>
      </x:c>
      <x:c r="I15" s="63">
        <x:f t="shared" ca="1" si="1"/>
        <x:v>0</x:v>
      </x:c>
      <x:c r="J15" s="64"/>
      <x:c r="K15" s="39"/>
    </x:row>
    <x:row r="16" ht="30" customHeight="1">
      <x:c r="A16" s="47"/>
      <x:c r="B16" s="48"/>
      <x:c r="C16" s="49" t="s">
        <x:v>14</x:v>
      </x:c>
      <x:c r="D16" s="50" t="s">
        <x:v>21</x:v>
      </x:c>
      <x:c r="E16" s="51" t="s">
        <x:v>43</x:v>
      </x:c>
      <x:c r="F16" s="52" t="s">
        <x:v>44</x:v>
      </x:c>
      <x:c r="G16" s="49"/>
      <x:c r="H16" s="50"/>
      <x:c r="I16" s="53"/>
      <x:c r="J16" s="55"/>
      <x:c r="K16" s="54"/>
    </x:row>
    <x:row r="17" ht="18.75" customHeight="1">
      <x:c r="A17" s="58"/>
      <x:c r="B17" s="57"/>
      <x:c r="C17" s="65"/>
      <x:c r="D17" s="58"/>
      <x:c r="E17" s="58"/>
      <x:c r="F17" s="58"/>
      <x:c r="G17" s="66"/>
      <x:c r="H17" s="66"/>
      <x:c r="I17" s="66"/>
      <x:c r="J17" s="66"/>
      <x:c r="K17" s="39"/>
    </x:row>
    <x:row r="18" ht="33.75" customHeight="1">
      <x:c r="A18" s="58"/>
      <x:c r="B18" s="57"/>
      <x:c r="C18" s="59" t="s">
        <x:v>45</x:v>
      </x:c>
      <x:c r="D18" s="60" t="s">
        <x:v>46</x:v>
      </x:c>
      <x:c r="E18" s="61"/>
      <x:c r="F18" s="61"/>
      <x:c r="G18" s="62"/>
      <x:c r="H18" s="63">
        <x:f t="shared" ref="H18:I18" ca="1" si="2">SUBTOTAL(9,OFFSET(H18,1,0):OFFSET(H22,-1,0))</x:f>
        <x:v>0</x:v>
      </x:c>
      <x:c r="I18" s="63">
        <x:f t="shared" ca="1" si="2"/>
        <x:v>0</x:v>
      </x:c>
      <x:c r="J18" s="67"/>
      <x:c r="K18" s="39"/>
    </x:row>
    <x:row r="19" ht="30" customHeight="1">
      <x:c r="A19" s="47"/>
      <x:c r="B19" s="48"/>
      <x:c r="C19" s="49" t="s">
        <x:v>14</x:v>
      </x:c>
      <x:c r="D19" s="50" t="s">
        <x:v>21</x:v>
      </x:c>
      <x:c r="E19" s="51" t="s">
        <x:v>47</x:v>
      </x:c>
      <x:c r="F19" s="52" t="s">
        <x:v>48</x:v>
      </x:c>
      <x:c r="G19" s="49"/>
      <x:c r="H19" s="50"/>
      <x:c r="I19" s="50"/>
      <x:c r="J19" s="52" t="s">
        <x:v>49</x:v>
      </x:c>
      <x:c r="K19" s="54"/>
    </x:row>
    <x:row r="20" ht="30" customHeight="1">
      <x:c r="A20" s="47"/>
      <x:c r="B20" s="48"/>
      <x:c r="C20" s="49" t="s">
        <x:v>36</x:v>
      </x:c>
      <x:c r="D20" s="50" t="s">
        <x:v>21</x:v>
      </x:c>
      <x:c r="E20" s="51" t="s">
        <x:v>50</x:v>
      </x:c>
      <x:c r="F20" s="52" t="s">
        <x:v>51</x:v>
      </x:c>
      <x:c r="G20" s="49"/>
      <x:c r="H20" s="50"/>
      <x:c r="I20" s="50"/>
      <x:c r="J20" s="52"/>
      <x:c r="K20" s="54"/>
    </x:row>
    <x:row r="21" ht="18.75" customHeight="1">
      <x:c r="A21" s="58"/>
      <x:c r="B21" s="57"/>
      <x:c r="C21" s="65"/>
      <x:c r="D21" s="65"/>
      <x:c r="E21" s="65"/>
      <x:c r="F21" s="65"/>
      <x:c r="G21" s="68"/>
      <x:c r="H21" s="68"/>
      <x:c r="I21" s="68"/>
      <x:c r="J21" s="68"/>
      <x:c r="K21" s="39"/>
    </x:row>
    <x:row r="22" ht="33.75" customHeight="1">
      <x:c r="A22" s="58"/>
      <x:c r="B22" s="57"/>
      <x:c r="C22" s="69" t="s">
        <x:v>52</x:v>
      </x:c>
      <x:c r="D22" s="70" t="s">
        <x:v>53</x:v>
      </x:c>
      <x:c r="E22" s="71"/>
      <x:c r="F22" s="71"/>
      <x:c r="G22" s="72"/>
      <x:c r="H22" s="73">
        <x:f t="shared" ref="H22:I22" ca="1" si="3">SUBTOTAL(9,OFFSET(H22,1,0):OFFSET(H25,-1,0))</x:f>
        <x:v>2</x:v>
      </x:c>
      <x:c r="I22" s="73">
        <x:f t="shared" ca="1" si="3"/>
        <x:v>0</x:v>
      </x:c>
      <x:c r="J22" s="74"/>
      <x:c r="K22" s="39"/>
    </x:row>
    <x:row r="23" ht="30" customHeight="1">
      <x:c r="A23" s="47"/>
      <x:c r="B23" s="48"/>
      <x:c r="C23" s="49" t="s">
        <x:v>20</x:v>
      </x:c>
      <x:c r="D23" s="50" t="s">
        <x:v>21</x:v>
      </x:c>
      <x:c r="E23" s="51" t="s">
        <x:v>54</x:v>
      </x:c>
      <x:c r="F23" s="52" t="s">
        <x:v>55</x:v>
      </x:c>
      <x:c r="G23" s="49" t="s">
        <x:v>29</x:v>
      </x:c>
      <x:c r="H23" s="50">
        <x:v>2</x:v>
      </x:c>
      <x:c r="I23" s="50"/>
      <x:c r="J23" s="52"/>
      <x:c r="K23" s="54"/>
    </x:row>
    <x:row r="24" ht="18.75" customHeight="1">
      <x:c r="A24" s="58"/>
      <x:c r="B24" s="57"/>
      <x:c r="C24" s="65"/>
      <x:c r="D24" s="65"/>
      <x:c r="E24" s="65"/>
      <x:c r="F24" s="65"/>
      <x:c r="G24" s="68"/>
      <x:c r="H24" s="68"/>
      <x:c r="I24" s="68"/>
      <x:c r="J24" s="68"/>
      <x:c r="K24" s="39"/>
    </x:row>
    <x:row r="25" ht="33.75" customHeight="1">
      <x:c r="A25" s="75"/>
      <x:c r="B25" s="76"/>
      <x:c r="C25" s="77"/>
      <x:c r="D25" s="77" t="s">
        <x:v>56</x:v>
      </x:c>
      <x:c r="E25" s="78"/>
      <x:c r="F25" s="78"/>
      <x:c r="G25" s="79"/>
      <x:c r="H25" s="80">
        <x:f t="shared" ref="H25:I25" ca="1" si="4">SUBTOTAL(9,H11:OFFSET(H25,-1,0))</x:f>
        <x:v>8</x:v>
      </x:c>
      <x:c r="I25" s="80">
        <x:f t="shared" ca="1" si="4"/>
        <x:v>0</x:v>
      </x:c>
      <x:c r="J25" s="81"/>
      <x:c r="K25" s="82"/>
    </x:row>
    <x:row r="26" ht="37.5" customHeight="1">
      <x:c r="A26" s="83"/>
      <x:c r="B26" s="83"/>
      <x:c r="C26" s="84"/>
      <x:c r="D26" s="83"/>
      <x:c r="E26" s="84"/>
      <x:c r="F26" s="84"/>
      <x:c r="G26" s="83"/>
      <x:c r="H26" s="83"/>
      <x:c r="I26" s="83"/>
      <x:c r="J26" s="85"/>
      <x:c r="K26" s="83"/>
    </x:row>
    <x:row r="27" ht="15" customHeight="1">
      <x:c r="A27" s="86"/>
      <x:c r="B27" s="86"/>
      <x:c r="C27" s="87"/>
      <x:c r="D27" s="86"/>
      <x:c r="E27" s="86"/>
      <x:c r="F27" s="88"/>
      <x:c r="G27" s="87"/>
      <x:c r="H27" s="86"/>
      <x:c r="I27" s="86"/>
      <x:c r="J27" s="89"/>
      <x:c r="K27" s="86"/>
    </x:row>
    <x:row r="28" ht="26.25" customHeight="1">
      <x:c r="A28" s="86"/>
      <x:c r="B28" s="86"/>
      <x:c r="C28" s="87" t="s">
        <x:v>57</x:v>
      </x:c>
      <x:c r="D28" s="86"/>
      <x:c r="E28" s="86"/>
      <x:c r="F28" s="88"/>
      <x:c r="G28" s="87" t="s">
        <x:v>58</x:v>
      </x:c>
      <x:c r="H28" s="86"/>
      <x:c r="I28" s="86"/>
      <x:c r="J28" s="89" t="s">
        <x:v>59</x:v>
      </x:c>
      <x:c r="K28" s="86"/>
    </x:row>
    <x:row r="29" ht="26.25" customHeight="1">
      <x:c r="A29" s="86"/>
      <x:c r="B29" s="90"/>
      <x:c r="C29" s="91" t="s">
        <x:v>25</x:v>
      </x:c>
      <x:c r="D29" s="86"/>
      <x:c r="E29" s="86"/>
      <x:c r="F29" s="88"/>
      <x:c r="G29" s="92" t="s">
        <x:v>29</x:v>
      </x:c>
      <x:c r="H29" s="86"/>
      <x:c r="I29" s="86"/>
      <x:c r="J29" s="93" t="s">
        <x:v>60</x:v>
      </x:c>
      <x:c r="K29" s="86"/>
    </x:row>
    <x:row r="30" ht="26.25" customHeight="1">
      <x:c r="A30" s="86"/>
      <x:c r="B30" s="90"/>
      <x:c r="C30" s="91" t="s">
        <x:v>30</x:v>
      </x:c>
      <x:c r="D30" s="86"/>
      <x:c r="E30" s="86"/>
      <x:c r="F30" s="88"/>
      <x:c r="G30" s="92" t="s">
        <x:v>32</x:v>
      </x:c>
      <x:c r="H30" s="86"/>
      <x:c r="I30" s="86"/>
      <x:c r="J30" s="86"/>
      <x:c r="K30" s="86"/>
    </x:row>
    <x:row r="31" ht="26.25" customHeight="1">
      <x:c r="A31" s="86"/>
      <x:c r="B31" s="90"/>
      <x:c r="C31" s="91" t="s">
        <x:v>14</x:v>
      </x:c>
      <x:c r="D31" s="86"/>
      <x:c r="E31" s="86"/>
      <x:c r="F31" s="86"/>
      <x:c r="G31" s="92" t="s">
        <x:v>18</x:v>
      </x:c>
      <x:c r="H31" s="86"/>
      <x:c r="I31" s="86"/>
      <x:c r="J31" s="86"/>
      <x:c r="K31" s="86"/>
    </x:row>
    <x:row r="32" ht="26.25" customHeight="1">
      <x:c r="A32" s="86"/>
      <x:c r="B32" s="90"/>
      <x:c r="C32" s="94" t="s">
        <x:v>36</x:v>
      </x:c>
      <x:c r="D32" s="86"/>
      <x:c r="E32" s="86"/>
      <x:c r="F32" s="95"/>
      <x:c r="G32" s="86"/>
      <x:c r="H32" s="86"/>
      <x:c r="I32" s="86"/>
      <x:c r="J32" s="86"/>
      <x:c r="K32" s="86"/>
    </x:row>
    <x:row r="33" ht="26.25" customHeight="1">
      <x:c r="A33" s="86"/>
      <x:c r="B33" s="90"/>
      <x:c r="C33" s="91" t="s">
        <x:v>20</x:v>
      </x:c>
      <x:c r="D33" s="86"/>
      <x:c r="E33" s="86"/>
      <x:c r="F33" s="95"/>
      <x:c r="G33" s="96"/>
      <x:c r="H33" s="96"/>
      <x:c r="I33" s="96"/>
      <x:c r="J33" s="96"/>
      <x:c r="K33" s="86"/>
    </x:row>
    <x:row r="34" ht="26.25" customHeight="1">
      <x:c r="A34" s="86"/>
      <x:c r="B34" s="86"/>
      <x:c r="C34" s="86"/>
      <x:c r="D34" s="86"/>
      <x:c r="E34" s="86"/>
      <x:c r="F34" s="97"/>
      <x:c r="G34" s="98" t="s">
        <x:v>61</x:v>
      </x:c>
      <x:c r="H34" s="96"/>
      <x:c r="I34" s="96"/>
      <x:c r="J34" s="96"/>
      <x:c r="K34" s="99"/>
    </x:row>
    <x:row r="35" ht="15" customHeight="1">
      <x:c r="A35" s="100"/>
      <x:c r="B35" s="100"/>
      <x:c r="C35" s="101"/>
      <x:c r="D35" s="86"/>
      <x:c r="E35" s="86"/>
      <x:c r="F35" s="102"/>
      <x:c r="G35" s="103" t="s">
        <x:v>62</x:v>
      </x:c>
      <x:c r="H35" s="104">
        <x:f ca="1">H22/H25</x:f>
        <x:v>0.25</x:v>
      </x:c>
      <x:c r="I35" s="105" t="str">
        <x:f ca="1">REPT("⚑",MIN(H37,H36)) &amp; REPT("⚐",MAX(0,H37-H36)) &amp; "⌛" &amp; REPT("⚑",MAX(0,H36-H37)) &amp; REPT("⚐",G2-MAX(H37,H36)) &amp; "🏁"</x:f>
        <x:v>⚑⌛⚑⚑⚑⚐⚐⚐⚐⚐⚐⚐⚐⚐⚐🏁</x:v>
      </x:c>
      <x:c r="J35" s="105"/>
      <x:c r="K35" s="99"/>
    </x:row>
    <x:row r="36" ht="15" customHeight="1">
      <x:c r="A36" s="106"/>
      <x:c r="B36" s="106"/>
      <x:c r="C36" s="107"/>
      <x:c r="D36" s="86"/>
      <x:c r="E36" s="86"/>
      <x:c r="F36" s="108"/>
      <x:c r="G36" s="103" t="s">
        <x:v>63</x:v>
      </x:c>
      <x:c r="H36" s="109">
        <x:f ca="1">ROUND(H35*G2,0)</x:f>
        <x:v>4</x:v>
      </x:c>
      <x:c r="I36" s="105"/>
      <x:c r="J36" s="105"/>
      <x:c r="K36" s="99"/>
    </x:row>
    <x:row r="37" ht="15" customHeight="1">
      <x:c r="A37" s="86"/>
      <x:c r="B37" s="86"/>
      <x:c r="C37" s="86"/>
      <x:c r="D37" s="86"/>
      <x:c r="E37" s="86"/>
      <x:c r="F37" s="108"/>
      <x:c r="G37" s="103" t="s">
        <x:v>64</x:v>
      </x:c>
      <x:c r="H37" s="110">
        <x:f ca="1">IF(TODAY()&lt;F2,0,IF(TODAY()&gt;(F2+G2),G2,TODAY()-F2))</x:f>
        <x:v>1</x:v>
      </x:c>
      <x:c r="I37" s="105"/>
      <x:c r="J37" s="105"/>
      <x:c r="K37" s="99"/>
    </x:row>
    <x:row r="38" ht="15" customHeight="1">
      <x:c r="A38" s="86"/>
      <x:c r="B38" s="86"/>
      <x:c r="C38" s="86"/>
      <x:c r="D38" s="86"/>
      <x:c r="E38" s="86"/>
      <x:c r="F38" s="86"/>
      <x:c r="G38" s="111"/>
      <x:c r="H38" s="111"/>
      <x:c r="I38" s="111"/>
      <x:c r="J38" s="111"/>
      <x:c r="K38" s="86"/>
    </x:row>
  </x:sheetData>
  <x:mergeCells>
    <x:mergeCell ref="C1:E2"/>
    <x:mergeCell ref="H1:I1"/>
    <x:mergeCell ref="H2:I2"/>
  </x:mergeCells>
  <x:conditionalFormatting sqref="C1:C1">
    <x:cfRule type="cellIs" dxfId="19" priority="1" operator="equal">
      <x:formula>#REF!</x:formula>
    </x:cfRule>
  </x:conditionalFormatting>
  <x:conditionalFormatting sqref="C3:C3">
    <x:cfRule type="cellIs" dxfId="18" priority="2" operator="equal">
      <x:formula>$C$37</x:formula>
    </x:cfRule>
  </x:conditionalFormatting>
  <x:conditionalFormatting sqref="C3:C3">
    <x:cfRule type="cellIs" dxfId="17" priority="3" operator="equal">
      <x:formula>$C$28</x:formula>
    </x:cfRule>
  </x:conditionalFormatting>
  <x:conditionalFormatting sqref="C3:C3">
    <x:cfRule type="cellIs" dxfId="16" priority="4" operator="equal">
      <x:formula>$C$29</x:formula>
    </x:cfRule>
  </x:conditionalFormatting>
  <x:conditionalFormatting sqref="C3:C3">
    <x:cfRule type="cellIs" dxfId="15" priority="5" operator="equal">
      <x:formula>$C$30</x:formula>
    </x:cfRule>
  </x:conditionalFormatting>
  <x:conditionalFormatting sqref="C3:C3">
    <x:cfRule type="cellIs" dxfId="14" priority="6" operator="equal">
      <x:formula>$C$31</x:formula>
    </x:cfRule>
  </x:conditionalFormatting>
  <x:conditionalFormatting sqref="G1:G38">
    <x:cfRule type="cellIs" dxfId="13" priority="7" operator="equal">
      <x:formula>$G$31</x:formula>
    </x:cfRule>
  </x:conditionalFormatting>
  <x:conditionalFormatting sqref="G1:G38">
    <x:cfRule type="cellIs" dxfId="12" priority="8" operator="equal">
      <x:formula>$G$30</x:formula>
    </x:cfRule>
  </x:conditionalFormatting>
  <x:conditionalFormatting sqref="G1:G38">
    <x:cfRule type="cellIs" dxfId="11" priority="9" operator="equal">
      <x:formula>$G$29</x:formula>
    </x:cfRule>
  </x:conditionalFormatting>
  <x:conditionalFormatting sqref="C3:C4 A4:B4 C6:C10 C12:C13 C16:C16 C19:C20 C23:C34 G27:G28 G34:G34 C37:C38">
    <x:cfRule type="cellIs" dxfId="10" priority="10" operator="equal">
      <x:formula>$C$29</x:formula>
    </x:cfRule>
  </x:conditionalFormatting>
  <x:conditionalFormatting sqref="C3:C4 A4:B4 C6:C10 C12:C13 C16:C16 C19:C20 C23:C34 G27:G28 G34:G34 C37:C38">
    <x:cfRule type="cellIs" dxfId="9" priority="11" operator="equal">
      <x:formula>$C$30</x:formula>
    </x:cfRule>
  </x:conditionalFormatting>
  <x:conditionalFormatting sqref="C3:C4 A4:B4 C6:C10 C12:C13 C16:C16 C19:C20 C23:C34 G27:G28 G34:G34 C37:C38">
    <x:cfRule type="cellIs" dxfId="8" priority="12" operator="equal">
      <x:formula>$C$31</x:formula>
    </x:cfRule>
  </x:conditionalFormatting>
  <x:conditionalFormatting sqref="C3:C4 A4:B4 C6:C10 C12:C13 C16:C16 C19:C20 C23:C34 G27:G28 G34:G34 C37:C38">
    <x:cfRule type="cellIs" dxfId="7" priority="13" operator="equal">
      <x:formula>$C$32</x:formula>
    </x:cfRule>
  </x:conditionalFormatting>
  <x:conditionalFormatting sqref="C33:C33">
    <x:cfRule type="notContainsBlanks" dxfId="6" priority="14">
      <x:formula>LEN(TRIM(C33))&gt;0</x:formula>
    </x:cfRule>
  </x:conditionalFormatting>
  <x:conditionalFormatting sqref="C1:C38 A4:B4 G27:G28 J27:J29 G34:G34">
    <x:cfRule type="cellIs" dxfId="5" priority="15" operator="equal">
      <x:formula>$C$33</x:formula>
    </x:cfRule>
  </x:conditionalFormatting>
  <x:conditionalFormatting sqref="B1:B38">
    <x:cfRule type="expression" dxfId="4" priority="16">
      <x:formula>(C1=$C$29)</x:formula>
    </x:cfRule>
  </x:conditionalFormatting>
  <x:conditionalFormatting sqref="B1:B38">
    <x:cfRule type="expression" dxfId="3" priority="17">
      <x:formula>(C1=$C$30)</x:formula>
    </x:cfRule>
  </x:conditionalFormatting>
  <x:conditionalFormatting sqref="B1:B38">
    <x:cfRule type="expression" dxfId="2" priority="18">
      <x:formula>(C1=$C$31)</x:formula>
    </x:cfRule>
  </x:conditionalFormatting>
  <x:conditionalFormatting sqref="B1:B38">
    <x:cfRule type="expression" dxfId="1" priority="19">
      <x:formula>(C1=$C$32)</x:formula>
    </x:cfRule>
  </x:conditionalFormatting>
  <x:conditionalFormatting sqref="B1:B38">
    <x:cfRule type="expression" dxfId="0" priority="20">
      <x:formula>(C1=$C$33)</x:formula>
    </x:cfRule>
  </x:conditionalFormatting>
  <x:dataValidations count="2">
    <x:dataValidation type="list" allowBlank="1" showErrorMessage="1" sqref="G6:G9 G12:G13 G16 G19:G20 G23">
      <x:formula1>list_priority</x:formula1>
    </x:dataValidation>
    <x:dataValidation type="list" allowBlank="1" showErrorMessage="1" sqref="C6:C9 C12:C13 C16 C19:C20 C23">
      <x:formula1>list_type</x:formula1>
    </x:dataValidation>
  </x:dataValidations>
  <x:hyperlinks>
    <x:hyperlink xmlns:r="http://schemas.openxmlformats.org/officeDocument/2006/relationships" ref="J29" r:id="Rb99bb481dc1d4299"/>
  </x:hyperlinks>
  <x:pageMargins left="0.7" right="0.7" top="0.75" bottom="0.75" header="0.3" footer="0.3"/>
  <x:drawing xmlns:r="http://schemas.openxmlformats.org/officeDocument/2006/relationships" r:id="R667d130f577d4a7b"/>
  <x:legacyDrawing xmlns:r="http://schemas.openxmlformats.org/officeDocument/2006/relationships" r:id="R53ca3ac22cc047d9"/>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ColWidth="14.42578125" defaultRowHeight="15"/>
  <x:cols>
    <x:col min="1" max="1" width="18.85546875" customWidth="1"/>
    <x:col min="5" max="5" width="11.42578125" customWidth="1"/>
    <x:col min="6" max="6" width="51.85546875" customWidth="1"/>
  </x:cols>
  <x:sheetData>
    <x:row r="1" ht="40.5" customHeight="1">
      <x:c r="A1" s="112" t="s">
        <x:v>65</x:v>
      </x:c>
      <x:c r="B1" s="2"/>
      <x:c r="C1" s="2"/>
      <x:c r="D1" s="2"/>
      <x:c r="E1" s="2"/>
      <x:c r="F1" s="2"/>
      <x:c r="G1" s="6"/>
    </x:row>
    <x:row r="2" ht="21" customHeight="1">
      <x:c r="A2" s="14" t="s">
        <x:v>1</x:v>
      </x:c>
      <x:c r="B2" s="16" t="s">
        <x:v>66</x:v>
      </x:c>
      <x:c r="C2" s="14" t="s">
        <x:v>67</x:v>
      </x:c>
      <x:c r="D2" s="14" t="s">
        <x:v>68</x:v>
      </x:c>
      <x:c r="E2" s="14" t="s">
        <x:v>69</x:v>
      </x:c>
      <x:c r="F2" s="18" t="s">
        <x:v>70</x:v>
      </x:c>
      <x:c r="G2" s="6"/>
    </x:row>
    <x:row r="3">
      <x:c r="A3" s="19"/>
      <x:c r="B3" s="21"/>
      <x:c r="C3" s="21"/>
      <x:c r="D3" s="21"/>
      <x:c r="E3" s="114"/>
      <x:c r="F3" s="21"/>
      <x:c r="G3" s="6"/>
    </x:row>
    <x:row r="4" ht="21" customHeight="1">
      <x:c r="A4" s="23">
        <x:v>44053</x:v>
      </x:c>
      <x:c r="B4" s="25">
        <x:v>8</x:v>
      </x:c>
      <x:c r="C4" s="25">
        <x:v>48</x:v>
      </x:c>
      <x:c r="D4" s="25">
        <x:v>24</x:v>
      </x:c>
      <x:c r="E4" s="115">
        <x:f t="shared" ref="E4:E16" si="0">IFERROR(D4/B4,"-")</x:f>
        <x:v>3</x:v>
      </x:c>
      <x:c r="F4" s="21"/>
      <x:c r="G4" s="6"/>
    </x:row>
    <x:row r="5" ht="21" customHeight="1">
      <x:c r="A5" s="23"/>
      <x:c r="B5" s="25"/>
      <x:c r="C5" s="25"/>
      <x:c r="D5" s="25"/>
      <x:c r="E5" s="115" t="str">
        <x:f t="shared" si="0"/>
        <x:v>-</x:v>
      </x:c>
      <x:c r="F5" s="21"/>
      <x:c r="G5" s="6"/>
    </x:row>
    <x:row r="6" ht="21" customHeight="1">
      <x:c r="A6" s="23"/>
      <x:c r="B6" s="25"/>
      <x:c r="C6" s="25"/>
      <x:c r="D6" s="25"/>
      <x:c r="E6" s="115" t="str">
        <x:f t="shared" si="0"/>
        <x:v>-</x:v>
      </x:c>
      <x:c r="F6" s="21"/>
      <x:c r="G6" s="6"/>
    </x:row>
    <x:row r="7" ht="21" customHeight="1">
      <x:c r="A7" s="23"/>
      <x:c r="B7" s="25"/>
      <x:c r="C7" s="25"/>
      <x:c r="D7" s="25"/>
      <x:c r="E7" s="115" t="str">
        <x:f t="shared" si="0"/>
        <x:v>-</x:v>
      </x:c>
      <x:c r="F7" s="21"/>
      <x:c r="G7" s="6"/>
    </x:row>
    <x:row r="8" ht="21" customHeight="1">
      <x:c r="A8" s="23"/>
      <x:c r="B8" s="25"/>
      <x:c r="C8" s="25"/>
      <x:c r="D8" s="25"/>
      <x:c r="E8" s="115" t="str">
        <x:f t="shared" si="0"/>
        <x:v>-</x:v>
      </x:c>
      <x:c r="F8" s="21"/>
      <x:c r="G8" s="6"/>
    </x:row>
    <x:row r="9" ht="21" customHeight="1">
      <x:c r="A9" s="23"/>
      <x:c r="B9" s="25"/>
      <x:c r="C9" s="25"/>
      <x:c r="D9" s="25"/>
      <x:c r="E9" s="115" t="str">
        <x:f t="shared" si="0"/>
        <x:v>-</x:v>
      </x:c>
      <x:c r="F9" s="21"/>
      <x:c r="G9" s="6"/>
    </x:row>
    <x:row r="10" ht="21" customHeight="1">
      <x:c r="A10" s="23"/>
      <x:c r="B10" s="25"/>
      <x:c r="C10" s="25"/>
      <x:c r="D10" s="25"/>
      <x:c r="E10" s="115" t="str">
        <x:f t="shared" si="0"/>
        <x:v>-</x:v>
      </x:c>
      <x:c r="F10" s="21"/>
      <x:c r="G10" s="6"/>
    </x:row>
    <x:row r="11" ht="21" customHeight="1">
      <x:c r="A11" s="23"/>
      <x:c r="B11" s="25"/>
      <x:c r="C11" s="25"/>
      <x:c r="D11" s="25"/>
      <x:c r="E11" s="115" t="str">
        <x:f t="shared" si="0"/>
        <x:v>-</x:v>
      </x:c>
      <x:c r="F11" s="21"/>
      <x:c r="G11" s="6"/>
    </x:row>
    <x:row r="12" ht="21" customHeight="1">
      <x:c r="A12" s="23"/>
      <x:c r="B12" s="25"/>
      <x:c r="C12" s="25"/>
      <x:c r="D12" s="25"/>
      <x:c r="E12" s="115" t="str">
        <x:f t="shared" si="0"/>
        <x:v>-</x:v>
      </x:c>
      <x:c r="F12" s="21"/>
      <x:c r="G12" s="6"/>
    </x:row>
    <x:row r="13" ht="21" customHeight="1">
      <x:c r="A13" s="23"/>
      <x:c r="B13" s="25"/>
      <x:c r="C13" s="25"/>
      <x:c r="D13" s="25"/>
      <x:c r="E13" s="115" t="str">
        <x:f t="shared" si="0"/>
        <x:v>-</x:v>
      </x:c>
      <x:c r="F13" s="21"/>
      <x:c r="G13" s="6"/>
    </x:row>
    <x:row r="14" ht="21" customHeight="1">
      <x:c r="A14" s="23"/>
      <x:c r="B14" s="25"/>
      <x:c r="C14" s="25"/>
      <x:c r="D14" s="25"/>
      <x:c r="E14" s="115" t="str">
        <x:f t="shared" si="0"/>
        <x:v>-</x:v>
      </x:c>
      <x:c r="F14" s="21"/>
      <x:c r="G14" s="6"/>
    </x:row>
    <x:row r="15" ht="21" customHeight="1">
      <x:c r="A15" s="23"/>
      <x:c r="B15" s="25"/>
      <x:c r="C15" s="25"/>
      <x:c r="D15" s="25"/>
      <x:c r="E15" s="115" t="str">
        <x:f t="shared" si="0"/>
        <x:v>-</x:v>
      </x:c>
      <x:c r="F15" s="21"/>
      <x:c r="G15" s="6"/>
    </x:row>
    <x:row r="16" ht="21" customHeight="1">
      <x:c r="A16" s="23"/>
      <x:c r="B16" s="25"/>
      <x:c r="C16" s="25"/>
      <x:c r="D16" s="25"/>
      <x:c r="E16" s="115" t="str">
        <x:f t="shared" si="0"/>
        <x:v>-</x:v>
      </x:c>
      <x:c r="F16" s="21"/>
      <x:c r="G16" s="6"/>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4.42578125" defaultRowHeight="15"/>
  <x:cols>
    <x:col min="1" max="1" width="11" customWidth="1"/>
    <x:col min="2" max="2" width="91.85546875" customWidth="1"/>
    <x:col min="3" max="25" width="8.7109375" customWidth="1"/>
  </x:cols>
  <x:sheetData>
    <x:row r="1" ht="28.5" customHeight="1">
      <x:c r="A1" s="3" t="s">
        <x:v>71</x:v>
      </x:c>
      <x:c r="B1" s="4" t="s">
        <x:v>72</x:v>
      </x:c>
    </x:row>
    <x:row r="2" ht="15.75">
      <x:c r="A2" s="7" t="s">
        <x:v>60</x:v>
      </x:c>
      <x:c r="B2" s="9"/>
    </x:row>
    <x:row r="3" ht="15.75">
      <x:c r="A3" s="11"/>
      <x:c r="B3" s="11"/>
    </x:row>
    <x:row r="4" ht="15.75">
      <x:c r="A4" s="121" t="s">
        <x:v>73</x:v>
      </x:c>
      <x:c r="B4" s="119"/>
    </x:row>
    <x:row r="5" ht="57.75">
      <x:c r="A5" s="13"/>
      <x:c r="B5" s="15" t="s">
        <x:v>74</x:v>
      </x:c>
    </x:row>
    <x:row r="6">
      <x:c r="A6" s="13"/>
      <x:c r="B6" s="15"/>
    </x:row>
    <x:row r="7">
      <x:c r="A7" s="13"/>
      <x:c r="B7" s="17" t="s">
        <x:v>75</x:v>
      </x:c>
    </x:row>
    <x:row r="8" ht="15.75">
      <x:c r="A8" s="13"/>
      <x:c r="B8" s="7" t="s">
        <x:v>76</x:v>
      </x:c>
    </x:row>
    <x:row r="9" ht="15.75">
      <x:c r="A9" s="20"/>
      <x:c r="B9" s="20"/>
    </x:row>
    <x:row r="10" ht="15.75">
      <x:c r="A10" s="121" t="s">
        <x:v>77</x:v>
      </x:c>
      <x:c r="B10" s="119"/>
    </x:row>
    <x:row r="11" ht="72">
      <x:c r="A11" s="22"/>
      <x:c r="B11" s="15" t="s">
        <x:v>78</x:v>
      </x:c>
    </x:row>
    <x:row r="12">
      <x:c r="A12" s="13"/>
      <x:c r="B12" s="24"/>
    </x:row>
    <x:row r="13" ht="15.75">
      <x:c r="A13" s="13"/>
      <x:c r="B13" s="26" t="s">
        <x:v>79</x:v>
      </x:c>
    </x:row>
    <x:row r="14" ht="43.5">
      <x:c r="A14" s="13"/>
      <x:c r="B14" s="15" t="s">
        <x:v>80</x:v>
      </x:c>
    </x:row>
    <x:row r="15" ht="15.75">
      <x:c r="A15" s="20"/>
      <x:c r="B15" s="20"/>
    </x:row>
    <x:row r="16" ht="15.75">
      <x:c r="A16" s="20"/>
      <x:c r="B16" s="26" t="s">
        <x:v>81</x:v>
      </x:c>
    </x:row>
    <x:row r="17" ht="29.25">
      <x:c r="A17" s="20"/>
      <x:c r="B17" s="15" t="s">
        <x:v>82</x:v>
      </x:c>
    </x:row>
    <x:row r="18" ht="15.75">
      <x:c r="A18" s="20"/>
      <x:c r="B18" s="20"/>
    </x:row>
    <x:row r="19" ht="15.75">
      <x:c r="A19" s="20"/>
      <x:c r="B19" s="26" t="s">
        <x:v>83</x:v>
      </x:c>
    </x:row>
    <x:row r="20" ht="43.5">
      <x:c r="A20" s="20"/>
      <x:c r="B20" s="15" t="s">
        <x:v>84</x:v>
      </x:c>
    </x:row>
    <x:row r="21">
      <x:c r="A21" s="22"/>
      <x:c r="B21" s="24"/>
    </x:row>
    <x:row r="22" ht="15.75">
      <x:c r="A22" s="121" t="s">
        <x:v>85</x:v>
      </x:c>
      <x:c r="B22" s="119"/>
    </x:row>
    <x:row r="23" ht="15.75">
      <x:c r="A23" s="28"/>
      <x:c r="B23" s="30" t="s">
        <x:v>86</x:v>
      </x:c>
    </x:row>
    <x:row r="24" ht="57.75">
      <x:c r="A24" s="28"/>
      <x:c r="B24" s="31" t="s">
        <x:v>87</x:v>
      </x:c>
    </x:row>
    <x:row r="25" ht="29.25">
      <x:c r="A25" s="28"/>
      <x:c r="B25" s="30" t="s">
        <x:v>88</x:v>
      </x:c>
    </x:row>
    <x:row r="26" ht="15.75">
      <x:c r="A26" s="11"/>
      <x:c r="B26" s="11"/>
    </x:row>
    <x:row r="27" ht="15.75">
      <x:c r="A27" s="121" t="s">
        <x:v>89</x:v>
      </x:c>
      <x:c r="B27" s="119"/>
    </x:row>
    <x:row r="28" ht="57.75">
      <x:c r="A28" s="34"/>
      <x:c r="B28" s="15" t="s">
        <x:v>90</x:v>
      </x:c>
    </x:row>
    <x:row r="29">
      <x:c r="A29" s="34"/>
      <x:c r="B29" s="35"/>
    </x:row>
    <x:row r="30">
      <x:c r="A30" s="34"/>
      <x:c r="B30" s="36" t="s">
        <x:v>91</x:v>
      </x:c>
    </x:row>
    <x:row r="31">
      <x:c r="A31" s="34"/>
      <x:c r="B31" s="36" t="s">
        <x:v>92</x:v>
      </x:c>
    </x:row>
    <x:row r="32">
      <x:c r="A32" s="34"/>
      <x:c r="B32" s="22"/>
    </x:row>
    <x:row r="33" ht="15.75">
      <x:c r="A33" s="121" t="s">
        <x:v>93</x:v>
      </x:c>
      <x:c r="B33" s="119"/>
    </x:row>
    <x:row r="34" ht="57.75">
      <x:c r="A34" s="11"/>
      <x:c r="B34" s="15" t="s">
        <x:v>94</x:v>
      </x:c>
    </x:row>
    <x:row r="35" ht="15.75">
      <x:c r="A35" s="11"/>
      <x:c r="B35" s="11"/>
    </x:row>
    <x:row r="36" ht="15.75">
      <x:c r="A36" s="11"/>
      <x:c r="B36" s="122" t="s">
        <x:v>60</x:v>
      </x:c>
    </x:row>
  </x:sheetData>
  <x:mergeCells>
    <x:mergeCell ref="A10:B10"/>
    <x:mergeCell ref="A27:B27"/>
    <x:mergeCell ref="A4:B4"/>
    <x:mergeCell ref="A33:B33"/>
    <x:mergeCell ref="A22:B22"/>
  </x:mergeCells>
  <x:hyperlinks>
    <x:hyperlink xmlns:r="http://schemas.openxmlformats.org/officeDocument/2006/relationships" ref="A2" r:id="R60f8ef7976e7425a"/>
    <x:hyperlink xmlns:r="http://schemas.openxmlformats.org/officeDocument/2006/relationships" ref="B8" r:id="R6036cd81755e4405"/>
    <x:hyperlink xmlns:r="http://schemas.openxmlformats.org/officeDocument/2006/relationships" ref="B36" r:id="R95b9bfdd12bd4bbe"/>
  </x:hyperlinks>
  <x:pageMargins left="0.7" right="0.7" top="0.75" bottom="0.75" header="0.3" footer="0.3"/>
</x:worksheet>
</file>